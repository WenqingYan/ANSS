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625"/>
  <workbookPr filterPrivacy="1" defaultThemeVersion="124226"/>
  <bookViews>
    <workbookView xWindow="0" yWindow="0" windowWidth="20490" windowHeight="8025" xr2:uid="{00000000-000D-0000-FFFF-FFFF00000000}"/>
  </bookViews>
  <sheets>
    <sheet name="Sheet1" sheetId="1" r:id="rId1"/>
    <sheet name="Sheet2" sheetId="2" r:id="rId2"/>
    <sheet name="Sheet3" sheetId="3" r:id="rId3"/>
  </sheets>
  <calcPr calcId="171027"/>
</workbook>
</file>

<file path=xl/calcChain.xml><?xml version="1.0" encoding="utf-8"?>
<calcChain xmlns="http://schemas.openxmlformats.org/spreadsheetml/2006/main">
  <c r="C59" i="1" l="1"/>
  <c r="C60" i="1" s="1"/>
  <c r="C61" i="1" s="1"/>
  <c r="C84" i="1"/>
  <c r="C85" i="1" s="1"/>
  <c r="C79" i="1"/>
  <c r="C80" i="1" s="1"/>
  <c r="C81" i="1" s="1"/>
  <c r="C74" i="1"/>
  <c r="C75" i="1" s="1"/>
  <c r="C76" i="1" s="1"/>
  <c r="C69" i="1"/>
  <c r="C70" i="1" s="1"/>
  <c r="C71" i="1" s="1"/>
  <c r="C64" i="1"/>
  <c r="C65" i="1" s="1"/>
  <c r="C66" i="1" s="1"/>
  <c r="C54" i="1"/>
  <c r="C55" i="1" s="1"/>
  <c r="C56" i="1" s="1"/>
  <c r="C49" i="1"/>
  <c r="C50" i="1" s="1"/>
  <c r="C51" i="1" s="1"/>
  <c r="C44" i="1"/>
  <c r="C45" i="1" s="1"/>
  <c r="C46" i="1" s="1"/>
  <c r="C39" i="1"/>
  <c r="C40" i="1" s="1"/>
  <c r="C41" i="1" s="1"/>
  <c r="C34" i="1"/>
  <c r="C35" i="1" s="1"/>
  <c r="C36" i="1" s="1"/>
  <c r="C29" i="1"/>
  <c r="C30" i="1" s="1"/>
  <c r="C31" i="1" s="1"/>
  <c r="C24" i="1"/>
  <c r="C25" i="1" s="1"/>
  <c r="C26" i="1" s="1"/>
  <c r="C19" i="1"/>
  <c r="C20" i="1" s="1"/>
  <c r="C21" i="1" s="1"/>
  <c r="C14" i="1"/>
  <c r="C15" i="1" s="1"/>
  <c r="C16" i="1" s="1"/>
  <c r="C10" i="1"/>
  <c r="C11" i="1" s="1"/>
  <c r="A9" i="1"/>
  <c r="A13" i="1" s="1"/>
  <c r="A18" i="1" s="1"/>
  <c r="C5" i="1"/>
  <c r="C6" i="1" s="1"/>
  <c r="C7" i="1" s="1"/>
</calcChain>
</file>

<file path=xl/sharedStrings.xml><?xml version="1.0" encoding="utf-8"?>
<sst xmlns="http://schemas.openxmlformats.org/spreadsheetml/2006/main" count="291" uniqueCount="279">
  <si>
    <t>Title</t>
  </si>
  <si>
    <t>Authors</t>
  </si>
  <si>
    <t>File</t>
  </si>
  <si>
    <t>Topic</t>
  </si>
  <si>
    <t>Physical Layer Security</t>
  </si>
  <si>
    <t xml:space="preserve">Radio-telepathy: extracting a secret key from an unauthenticated wireless channel </t>
  </si>
  <si>
    <t>Suhas Mathur, Wade Trappe, Narayan Mandayam, Chunxuan Ye, Alex Reznik</t>
  </si>
  <si>
    <t>ACM Mobicom 2008</t>
  </si>
  <si>
    <t>http://delivery.acm.org/10.1145/1410000/1409960/p128-mathur.pdf?key1=1409960&amp;key2=7406753721&amp;coll=ACM&amp;dl=ACM&amp;CFID=87829722&amp;CFTOKEN=63554013</t>
  </si>
  <si>
    <t xml:space="preserve">On the effectiveness of secret key extraction from wireless signal strength in real environments </t>
  </si>
  <si>
    <t>ACM Mobicom 2009</t>
  </si>
  <si>
    <t>Jessica Croft, Neal Patwari, Sneha Kumar Kasera</t>
  </si>
  <si>
    <t>http://delivery.acm.org/10.1145/1620000/1614356/p321-jana.pdf?key1=1614356&amp;key2=0416753721&amp;coll=ACM&amp;dl=ACM&amp;CFID=87829722&amp;CFTOKEN=63554013</t>
  </si>
  <si>
    <t>Suman Jana, Sriram Nandha Premnath, Mike Clark, Sneha K. Kasera, Neal Patwari, Srikanth V. Krishnamurthy</t>
  </si>
  <si>
    <t>Secure Wireless Communication with Dynamic Secrets</t>
  </si>
  <si>
    <t>b. Sheng Xiao, Weibo Gong and Don Towsley</t>
  </si>
  <si>
    <t>IEEE INFOCOM 2010</t>
  </si>
  <si>
    <t xml:space="preserve">http://gaia.cs.umass.edu/networks/papers/infocom-2010-shared-secrets.pdf </t>
  </si>
  <si>
    <t>Robust Uncorrelated Bit Extraction Methodologies for Wireless Sensors</t>
  </si>
  <si>
    <t>ACM/IEEE IPSN 2010</t>
  </si>
  <si>
    <t>http://www2.ee.kth.se/conferences/cpsweek2010/PDF/IPSN/p070-croft.pdf</t>
  </si>
  <si>
    <t>WiFi Security</t>
  </si>
  <si>
    <t>WiFi privacy</t>
  </si>
  <si>
    <t>Wireless Sensor Network (WSN) Secure Aggregation</t>
  </si>
  <si>
    <t>WSN Security Protocols</t>
  </si>
  <si>
    <t>Device Compromise</t>
  </si>
  <si>
    <t>Jamming</t>
  </si>
  <si>
    <t>Security and positioning</t>
  </si>
  <si>
    <t>Secure routing and communication</t>
  </si>
  <si>
    <t>WiFi Security - v.2</t>
  </si>
  <si>
    <t>Cellular Network Security</t>
  </si>
  <si>
    <t>Security of Mobile Devices and Systems</t>
  </si>
  <si>
    <t>Embedded Device Security</t>
  </si>
  <si>
    <t>Embedded Device (smart card) Security - v.2</t>
  </si>
  <si>
    <t>Privacy and security in library RFID: issues, practices, and architectures</t>
  </si>
  <si>
    <t xml:space="preserve">David Molnar, David Wagner </t>
  </si>
  <si>
    <t>ACM CCS 2004</t>
  </si>
  <si>
    <t>http://delivery.acm.org/10.1145/1040000/1030112/p210-molnar.pdf?key1=1030112&amp;key2=8347753721&amp;coll=ACM&amp;dl=ACM&amp;CFID=88913229&amp;CFTOKEN=63084297</t>
  </si>
  <si>
    <t>EPC RFID tag security weaknesses and defenses: passport cards, enhanced drivers licenses, and beyond</t>
  </si>
  <si>
    <t>RFID Security (attacks)</t>
  </si>
  <si>
    <t>RFID Security (protocols) - v.2</t>
  </si>
  <si>
    <t>Karl Koscher, Ari Juels, Vjekoslav Brajkovic, Tadayoshi Kohno</t>
  </si>
  <si>
    <t>http://delivery.acm.org/10.1145/1660000/1653668/p33-koscher.pdf?key1=1653668&amp;key2=3157753721&amp;coll=ACM&amp;dl=ACM&amp;CFID=88913229&amp;CFTOKEN=63084297</t>
  </si>
  <si>
    <t>ACM CCS 2009</t>
  </si>
  <si>
    <t>Karsten Nohl and David Evans, Starbug and Henryk Plötz</t>
  </si>
  <si>
    <t>http://www.usenix.org/events/sec08/tech/full_papers/nohl/nohl.pdf</t>
  </si>
  <si>
    <t>USENIX Security (17th)</t>
  </si>
  <si>
    <t>Reverse-Engineering a Cryptographic RFID Tag</t>
  </si>
  <si>
    <t>Mutual authentication in RFID: security and privacy</t>
  </si>
  <si>
    <t>RFID Privacy (and security)</t>
  </si>
  <si>
    <t>Radu-Ioan Paise, Serge Vaudenay</t>
  </si>
  <si>
    <t>ACM ASIACCS 2008</t>
  </si>
  <si>
    <t>http://delivery.acm.org/10.1145/1370000/1368352/p292-paise.pdf?key1=1368352&amp;key2=5667753721&amp;coll=ACM&amp;dl=ACM&amp;CFID=87829722&amp;CFTOKEN=63554013</t>
  </si>
  <si>
    <t>Ari Juels, Ravikanth Pappu, Bryan Parno</t>
  </si>
  <si>
    <t>USENIX Security 2008</t>
  </si>
  <si>
    <t>Unidirectional Key Distribution Across Time and Space with Applications to RFID Security</t>
  </si>
  <si>
    <t>RFIDs and secret handshakes: defending against ghost-and-leech attacks and unauthorized reads with context-aware communications</t>
  </si>
  <si>
    <t>Alexei Czeskis, Karl Koscher, Joshua R. Smith, Tadayoshi Kohno</t>
  </si>
  <si>
    <t xml:space="preserve">ACM CCS </t>
  </si>
  <si>
    <t>http://delivery.acm.org/10.1145/1460000/1455831/p479-czeskis.pdf?key1=1455831&amp;key2=1977753721&amp;coll=ACM&amp;dl=ACM&amp;CFID=88913229&amp;CFTOKEN=63084297</t>
  </si>
  <si>
    <t>http://www.usenix.org/events/sec08/tech/full_papers/juels/juels.pdf</t>
  </si>
  <si>
    <t>CCCP: Secure Remote Storage for Computational RFIDs</t>
  </si>
  <si>
    <t>Mastooreh Salajegheh, Shane Clark, Benjamin Ransford, and Kevin Fu, Ari Juels</t>
  </si>
  <si>
    <t>Defining strong privacy for RFID</t>
  </si>
  <si>
    <t>Ari Juels</t>
  </si>
  <si>
    <t>Conference / Journal</t>
  </si>
  <si>
    <t>ACM TISSEC, Vol. 13 No. 1, Oct. 2009</t>
  </si>
  <si>
    <t>http://delivery.acm.org/10.1145/1610000/1609963/a7-juels.pdf?key1=1609963&amp;key2=3897753721&amp;coll=ACM&amp;dl=ACM&amp;CFID=86975485&amp;CFTOKEN=39289696</t>
  </si>
  <si>
    <t>Robust, anonymous RFID authentication with constant key-lookup</t>
  </si>
  <si>
    <t>Mike Burmester, Breno de Medeiros, Rossana Motta</t>
  </si>
  <si>
    <t>http://delivery.acm.org/10.1145/1370000/1368351/p283-burmester.pdf?key1=1368351&amp;key2=2508753721&amp;coll=ACM&amp;dl=ACM&amp;CFID=87829722&amp;CFTOKEN=63554013</t>
  </si>
  <si>
    <t>Physical-layer Identification of RFID Devices</t>
  </si>
  <si>
    <t>Boris Danev, Thomas S. Heydt-Benjamin, Srdjan Čapkun</t>
  </si>
  <si>
    <t>http://www.usenix.org/events/sec09/tech/full_papers/danev.pdf</t>
  </si>
  <si>
    <t>USENIX Security 2009</t>
  </si>
  <si>
    <t>Universally Composable RFID Identification and Authentication Protocols</t>
  </si>
  <si>
    <t>Mike Burmester, Tri Van Le, Breno De Medeiros, Gene Tsudik</t>
  </si>
  <si>
    <t>ACM TISSEC, Vol. 12 No, 4, April 2009</t>
  </si>
  <si>
    <t>http://delivery.acm.org/10.1145/1520000/1513603/a21-de_medeiros.pdf?key1=1513603&amp;key2=9628753721&amp;coll=ACM&amp;dl=ACM&amp;CFID=86975485&amp;CFTOKEN=39289696</t>
  </si>
  <si>
    <t>http://www.usenix.org/events/sec09/tech/full_papers/salajegheh.pdf</t>
  </si>
  <si>
    <t>802.11 user fingerprinting</t>
  </si>
  <si>
    <t>Jeffrey Pang, Ben Greenstein, Ramakrishna Gummadi, Srinivasan Seshan, David Wetherall</t>
  </si>
  <si>
    <t>ACM MobiCom 2007</t>
  </si>
  <si>
    <t>http://delivery.acm.org/10.1145/1290000/1287866/p99-pang.pdf?key1=1287866&amp;key2=0348753721&amp;coll=ACM&amp;dl=ACM&amp;CFID=87829722&amp;CFTOKEN=63554013</t>
  </si>
  <si>
    <t>Passive Data Link Layer 802.11 Wireless Device Driver Fingerprinting</t>
  </si>
  <si>
    <t>http://www.usenix.org/events/sec06/tech/full_papers/franklin/franklin.pdf</t>
  </si>
  <si>
    <t>USENIX Security 2006</t>
  </si>
  <si>
    <t>Jason Franklin, Damon McCoy,Parisa Tabriz, Vicentiu Neagoe, Jamie Van Randwyk, Douglas Sicker,Scott Shenker</t>
  </si>
  <si>
    <t>Privacy-preserving 802.11 access-point discovery</t>
  </si>
  <si>
    <t xml:space="preserve">Lindqvist, Tuomas Aura, George Danezis, Teemu Koponen, Annu Myllyniemi, Jussi Mäki, Michael Roe </t>
  </si>
  <si>
    <t>http://delivery.acm.org/10.1145/1520000/1514293/p123-lindqvist.pdf?key1=1514293&amp;key2=0858753721&amp;coll=ACM&amp;dl=ACM&amp;CFID=87829722&amp;CFTOKEN=63554013</t>
  </si>
  <si>
    <t>ACM WiSec 2009</t>
  </si>
  <si>
    <t>Intercepting mobile communications: the insecurity of 802.11</t>
  </si>
  <si>
    <t>Nikita Borisov, Ian Goldberg, David Wagner</t>
  </si>
  <si>
    <t>ACM MobiCom 2001</t>
  </si>
  <si>
    <t>http://delivery.acm.org/10.1145/390000/381695/p180-borisov.pdf?key1=381695&amp;key2=6368753721&amp;coll=ACM&amp;dl=ACM&amp;CFID=87829722&amp;CFTOKEN=63554013</t>
  </si>
  <si>
    <t>A key recovery attack on the 802.11b wired equivalent privacy protocol (WEP)</t>
  </si>
  <si>
    <t>Adam Stubblefield, John Ioannidis, Aviel D. Rubin</t>
  </si>
  <si>
    <t>ACM TISSEC, vol 7 no 2, May 2004</t>
  </si>
  <si>
    <t>http://delivery.acm.org/10.1145/1000000/996948/p319-stubblefield.pdf?key1=996948&amp;key2=8478753721&amp;coll=ACM&amp;dl=ACM&amp;CFID=86975485&amp;CFTOKEN=39289696</t>
  </si>
  <si>
    <t>IEEE 802.11 revised authentication and encryption</t>
  </si>
  <si>
    <t>IEEE 802.11 working group</t>
  </si>
  <si>
    <t>Practical attacks against WEP and WPA</t>
  </si>
  <si>
    <t xml:space="preserve">Erik Tews, Martin Beck </t>
  </si>
  <si>
    <t>http://delivery.acm.org/10.1145/1520000/1514286/p79-tews.pdf?key1=1514286&amp;key2=7488753721&amp;coll=ACM&amp;dl=ACM&amp;CFID=87829722&amp;CFTOKEN=63554013</t>
  </si>
  <si>
    <t>Link-layer protection in 802.11i WLANS with dummy authentication</t>
  </si>
  <si>
    <t xml:space="preserve">Zhimin Yang, Adam C. Champion, Boxuan Gu, Xiaole Bai, Dong Xuan </t>
  </si>
  <si>
    <t>http://delivery.acm.org/10.1145/1520000/1514294/p131-yang.pdf?key1=1514294&amp;key2=1988753721&amp;coll=ACM&amp;dl=ACM&amp;CFID=87829722&amp;CFTOKEN=63554013</t>
  </si>
  <si>
    <t>Wireless client puzzles in IEEE 802.11 networks: security by wireles</t>
  </si>
  <si>
    <t xml:space="preserve">Ivan Martinovic, Frank A. Zdarsky, Matthias Wilhelm, Christian Wegmann, Jens B. Schmitt </t>
  </si>
  <si>
    <t>http://delivery.acm.org/10.1145/1360000/1352541/p36-martinovic.pdf?key1=1352541&amp;key2=9498753721&amp;coll=ACM&amp;dl=ACM&amp;CFID=87829722&amp;CFTOKEN=63554013</t>
  </si>
  <si>
    <t>ACM WiSec 2008</t>
  </si>
  <si>
    <t>Enhancing the security of corporate Wi-Fi networks using DAIR</t>
  </si>
  <si>
    <t>Paramvir Bahl, Ranveer Chandra, Jitendra Padhye, Lenin Ravindranath, Manpreet Singh, Alec Wolman, Brian Zill</t>
  </si>
  <si>
    <t>ACM MobiSys 2006</t>
  </si>
  <si>
    <t>http://delivery.acm.org/10.1145/1140000/1134682/p1-bahl.pdf?key1=1134682&amp;key2=0009753721&amp;coll=ACM&amp;dl=ACM&amp;CFID=87829722&amp;CFTOKEN=63554013</t>
  </si>
  <si>
    <t xml:space="preserve">Wireless System Security </t>
  </si>
  <si>
    <t>Compiled by: Panos Papadimitratos</t>
  </si>
  <si>
    <t>IEEE Standards / Draft STDs</t>
  </si>
  <si>
    <t>Network-in-a-Box: How to Set Up a Secure Wireless Network in Under a minute</t>
  </si>
  <si>
    <t>Dirk Balfanz, Glenn Durfee, Rebecca E. Grinter, Diana K. Smetters, and Paul Stewart</t>
  </si>
  <si>
    <t>USENIX Security 2004</t>
  </si>
  <si>
    <t>http://www.usenix.org/events/sec04/tech/full_papers/balfanz/balfanz.pdf</t>
  </si>
  <si>
    <t>Android: Securing a Mobile Platform from the Ground Up</t>
  </si>
  <si>
    <t>http://www.usenix.org/media/events/sec09/tech/mp3/cannings.mp3</t>
  </si>
  <si>
    <t>Rich Cannings (key note speech)</t>
  </si>
  <si>
    <t>On lightweight mobile phone application certification</t>
  </si>
  <si>
    <t xml:space="preserve">William Enck, Machigar Ongtang, Patrick McDaniel </t>
  </si>
  <si>
    <t>http://delivery.acm.org/10.1145/1660000/1653691/p235-enck.pdf?key1=1653691&amp;key2=2879753721&amp;coll=ACM&amp;dl=ACM&amp;CFID=88913229&amp;CFTOKEN=63084297</t>
  </si>
  <si>
    <t xml:space="preserve">Patrick Traynor, Michael Lin, Machigar Ongtang, Vikhyath Rao, Trent Jaeger, Patrick McDaniel, Thomas La Porta </t>
  </si>
  <si>
    <t>http://delivery.acm.org/10.1145/1660000/1653690/p223-traynor.pdf?key1=1653690&amp;key2=8589753721&amp;coll=ACM&amp;dl=ACM&amp;CFID=88913229&amp;CFTOKEN=63084297</t>
  </si>
  <si>
    <t>On cellular botnets: measuring the impact of malicious devices on a cellular network core</t>
  </si>
  <si>
    <t xml:space="preserve">xShare: supporting impromptu sharing of mobile phones </t>
  </si>
  <si>
    <t xml:space="preserve">Yunxin Liu, Ahmad Rahmati, Yuanhe Huang, Hyukjae Jang, Lin Zhong, Yongguang Zhang, Shensheng Zhang </t>
  </si>
  <si>
    <t>ACM MobiSys 2009</t>
  </si>
  <si>
    <t>http://delivery.acm.org/10.1145/1560000/1555819/p15-liu.pdf?key1=1555819&amp;key2=4473853721&amp;coll=ACM&amp;dl=ACM&amp;CFID=87829722&amp;CFTOKEN=63554013</t>
  </si>
  <si>
    <t>On Attack Causality in Internet-Connected Cellular Networks</t>
  </si>
  <si>
    <t>Patrick Traynor, Patrick McDaniel, and Thomas La Porta</t>
  </si>
  <si>
    <t>USENIX Security 2007</t>
  </si>
  <si>
    <t>http://www.usenix.org/events/sec07/tech/full_papers/traynor/traynor.pdf</t>
  </si>
  <si>
    <t xml:space="preserve">
Behavioral detection of malware on mobile handsets </t>
  </si>
  <si>
    <t xml:space="preserve">Abhijit Bose, Xin Hu, Kang G. Shin, Taejoon Park </t>
  </si>
  <si>
    <t>http://delivery.acm.org/10.1145/1380000/1378626/p225-bose.pdf?key1=1378626&amp;key2=8204853721&amp;coll=ACM&amp;dl=ACM&amp;CFID=87829722&amp;CFTOKEN=63554013</t>
  </si>
  <si>
    <t>ACM MobiSys 2008</t>
  </si>
  <si>
    <t>A public key technology platform for wireless sensor networks</t>
  </si>
  <si>
    <t>Wen Chan Shih, Wen Hu, Peter Corke, Leslie Overs</t>
  </si>
  <si>
    <t>ACM SenSys 2008</t>
  </si>
  <si>
    <t>http://delivery.acm.org/10.1145/1470000/1460496/p447-shih.pdf?key1=1460496&amp;key2=5134853721&amp;coll=ACM&amp;dl=ACM&amp;CFID=87829722&amp;CFTOKEN=63554013</t>
  </si>
  <si>
    <t>A Framework for Identifying Compromised Nodes in Wireless Sensor Networks</t>
  </si>
  <si>
    <t>Qing Zhang, Ting Yu, Peng Ning</t>
  </si>
  <si>
    <t>ACM TISSEC, Vol. 11 no. 3, March 2008</t>
  </si>
  <si>
    <t>http://delivery.acm.org/10.1145/1350000/1341733/a12-zhang.pdf?key1=1341733&amp;key2=5444853721&amp;coll=ACM&amp;dl=ACM&amp;CFID=86975485&amp;CFTOKEN=39289696</t>
  </si>
  <si>
    <t>SIA: secure information aggregation in sensor networks</t>
  </si>
  <si>
    <t>Bartosz Przydatek, Dawn Song, Adrian Perrig</t>
  </si>
  <si>
    <t>ACM SenSys 2003</t>
  </si>
  <si>
    <t>http://delivery.acm.org/10.1145/960000/958521/p255-przydatek.pdf?key1=958521&amp;key2=7254853721&amp;coll=ACM&amp;dl=ACM&amp;CFID=87829722&amp;CFTOKEN=63554013</t>
  </si>
  <si>
    <t>Efficient and Robust Secure Aggregation for Sensor Networks</t>
  </si>
  <si>
    <t>http://icapeople.epfl.ch/panos/eff-secure-robust-aggregation.pdf</t>
  </si>
  <si>
    <t>Parisa Haghani, Panos Papadimitratos, Marcin Poturalski, Karl Aberer, Jean-Pierre Hubaux</t>
  </si>
  <si>
    <t>IEEE NPSec 2007</t>
  </si>
  <si>
    <t>Improving wireless privacy with an identifier-free link layer protocol</t>
  </si>
  <si>
    <t xml:space="preserve">Ben Greenstein, Damon McCoy, Jeffrey Pang, Tadayoshi Kohno, Srinivasan Seshan, David Wetherall </t>
  </si>
  <si>
    <t>http://delivery.acm.org/10.1145/1380000/1378607/p40-greenstein.pdf?key1=1378607&amp;key2=0874853721&amp;coll=ACM&amp;dl=ACM&amp;CFID=87829722&amp;CFTOKEN=63554013</t>
  </si>
  <si>
    <t>ACM Mobihoc 2009</t>
  </si>
  <si>
    <t>Zero pre-shared secret key establishment in the presence of jammers</t>
  </si>
  <si>
    <t xml:space="preserve">Tao Jin, Guevara Noubir, Bishal Thapa </t>
  </si>
  <si>
    <t>http://delivery.acm.org/10.1145/1540000/1530779/p219-jin.pdf?key1=1530779&amp;key2=1194853721&amp;coll=ACM&amp;dl=ACM&amp;CFID=87829722&amp;CFTOKEN=63554013</t>
  </si>
  <si>
    <t xml:space="preserve">    Jamming and sensing of encrypted wireless ad hoc networks </t>
  </si>
  <si>
    <t xml:space="preserve">Timothy X Brown, Jesse E. James, Amita Sethi </t>
  </si>
  <si>
    <t>ACM Mobihoc 2006</t>
  </si>
  <si>
    <t>http://delivery.acm.org/10.1145/1140000/1132919/p120-brown.pdf?key1=1132919&amp;key2=7894853721&amp;coll=ACM&amp;dl=ACM&amp;CFID=87829722&amp;CFTOKEN=63554013</t>
  </si>
  <si>
    <t>Ad hoc-VCG: a truthful and cost-efficient routing protocol for mobile ad hoc networks with selfish agents</t>
  </si>
  <si>
    <t xml:space="preserve">Luzi Anderegg, Stephan Eidenbenz </t>
  </si>
  <si>
    <t>http://delivery.acm.org/10.1145/940000/939011/p245-anderegg.pdf?key1=939011&amp;key2=3405853721&amp;coll=ACM&amp;dl=ACM&amp;CFID=87829722&amp;CFTOKEN=63554013</t>
  </si>
  <si>
    <t>ACM MobiCom 2003</t>
  </si>
  <si>
    <t>http://delivery.acm.org/10.1145/1290000/1287887/p278-zhong.pdf?key1=1287887&amp;key2=1805853721&amp;coll=ACM&amp;dl=ACM&amp;CFID=87829722&amp;CFTOKEN=63554013</t>
  </si>
  <si>
    <t xml:space="preserve"> On designing collusion-resistant routing schemes for non-cooperative wireless ad hoc networks </t>
  </si>
  <si>
    <t xml:space="preserve">Sheng Zhong, Fan Wu </t>
  </si>
  <si>
    <t>Security model and framework for information aggregation in sensor networks</t>
  </si>
  <si>
    <t>Mark Manulis, Jörg Schwenk</t>
  </si>
  <si>
    <t xml:space="preserve">ACM TOSN, Vol 5 no 2, March 2009 </t>
  </si>
  <si>
    <t>http://delivery.acm.org/10.1145/1500000/1498919/a13-manulis.pdf?key1=1498919&amp;key2=4915853721&amp;coll=ACM&amp;dl=ACM&amp;CFID=86975485&amp;CFTOKEN=39289696</t>
  </si>
  <si>
    <t>Efficient and provably secure aggregation of encrypted data in wireless sensor networks</t>
  </si>
  <si>
    <t>Claude Castelluccia, Aldar C-F. Chan, Einar Mykletun, Gene Tsudik</t>
  </si>
  <si>
    <t xml:space="preserve">ACM TOSN, Vol 5 no 3, May 2009 </t>
  </si>
  <si>
    <t>http://delivery.acm.org/10.1145/1530000/1525858/a20-castelluccia.pdf?key1=1525858&amp;key2=1625853721&amp;coll=ACM&amp;dl=ACM&amp;CFID=86975485&amp;CFTOKEN=39289696</t>
  </si>
  <si>
    <t>Jamming-resistant Broadcast Communication without Shared Keys</t>
  </si>
  <si>
    <t>Christina Pöpper, Mario Strasser, and Srdjan Čapkun</t>
  </si>
  <si>
    <t>http://www.usenix.org/events/sec09/tech/full_papers/popper.pdf</t>
  </si>
  <si>
    <t>Keep Your Enemies Close: Distance Bounding Against Smartcard Relay Attacks</t>
  </si>
  <si>
    <t>Saar Drimer and Steven J. Murdoch</t>
  </si>
  <si>
    <t>http://www.usenix.org/events/sec07/tech/drimer/drimer.pdf</t>
  </si>
  <si>
    <t>Partitioning attacks: or how to rapidly clone some GSM cards</t>
  </si>
  <si>
    <t xml:space="preserve">Rao, J.R.  Rohatgi, P.  Scherzer, H.  Tinguely, S.  </t>
  </si>
  <si>
    <t>IEEE S&amp;P 2002</t>
  </si>
  <si>
    <t>Pacemakers and Implantable Cardiac Defibrillators: Software Radio Attacks and Zero-Power Defenses</t>
  </si>
  <si>
    <t xml:space="preserve">Halperin, D.  Heydt-Benjamin, T.S.  Ransford, B.  Clark, S.S.  Defend, B.  Morgan, W.  Fu, K.  Kohno, T.  Maisel, W.H. , </t>
  </si>
  <si>
    <t>IEEE S&amp;P 2008</t>
  </si>
  <si>
    <t>Wirelessly Pickpocketing a Mifare Classic Card</t>
  </si>
  <si>
    <t>Garcia, F.D.  van Rossum, P.  Verdult, R.  Schreur, R.W. ,</t>
  </si>
  <si>
    <t>IEEE S&amp;P 2009</t>
  </si>
  <si>
    <t>A practical revocation scheme for broadcast encryption using smart cards</t>
  </si>
  <si>
    <t xml:space="preserve">Kogan, N.  Shavitt, Y.  Wool, A.  </t>
  </si>
  <si>
    <t>IEEE S&amp;P 2003</t>
  </si>
  <si>
    <t>Patrick Traynor , Raju Kumar , Heesook Choi , Guohong Cao , Sencun Zhu , Thomas La Porta</t>
  </si>
  <si>
    <t>Efficient Hybrid Security Mechanisms for Heterogeneous Sensor Networks</t>
  </si>
  <si>
    <t>IEEE TMC v.6 n.6, 2007</t>
  </si>
  <si>
    <t>http://ieeexplore.ieee.org/stamp/stamp.jsp?tp=&amp;arnumber=1004360</t>
  </si>
  <si>
    <t>http://www.computer.org/portal/web/csdl/doi/10.1109/TMC.2007.1020</t>
  </si>
  <si>
    <t xml:space="preserve">SmartSiren: virus detection and alert for smartphones </t>
  </si>
  <si>
    <t xml:space="preserve">Jerry Cheng, Starsky H.Y. Wong, Hao Yang, Songwu Lu </t>
  </si>
  <si>
    <t>ACM MobiSys 2007</t>
  </si>
  <si>
    <t>http://delivery.acm.org/10.1145/1250000/1247690/p258-cheng.pdf?key1=1247690&amp;key2=5595853721&amp;coll=ACM&amp;dl=ACM&amp;CFID=87829722&amp;CFTOKEN=63554013</t>
  </si>
  <si>
    <t xml:space="preserve">OpenLIDS: a lightweight intrusion detection system for wireless mesh networks </t>
  </si>
  <si>
    <t xml:space="preserve">Fabian Hugelshofer, Paul Smith, David Hutchison, Nicholas J.P. Race, </t>
  </si>
  <si>
    <t>ACM MobiCom 2009</t>
  </si>
  <si>
    <t>http://delivery.acm.org/10.1145/1620000/1614355/p309-hugelshofer.pdf?key1=1614355&amp;key2=5206853721&amp;coll=ACM&amp;dl=ACM&amp;CFID=87829722&amp;CFTOKEN=63554013</t>
  </si>
  <si>
    <t xml:space="preserve">Detecting energy-greedy anomalies and mobile malware variants </t>
  </si>
  <si>
    <t xml:space="preserve">Hahnsang Kim, Joshua Smith, Kang G. Shin </t>
  </si>
  <si>
    <t>ACM MobiSys2008</t>
  </si>
  <si>
    <t>http://delivery.acm.org/10.1145/1380000/1378627/p239-kim.pdf?key1=1378627&amp;key2=4706853721&amp;coll=ACM&amp;dl=ACM&amp;CFID=87829722&amp;CFTOKEN=63554013</t>
  </si>
  <si>
    <t>Secure multi-path in sensor networks</t>
  </si>
  <si>
    <t>Feng Lu, Lijuan Geng, Liang-Tien Chia, Ying-Chang Liang</t>
  </si>
  <si>
    <t>ACM Sensys 2007</t>
  </si>
  <si>
    <t>http://delivery.acm.org/10.1145/1330000/1322322/p413-lu.pdf?key1=1322322&amp;key2=2726853721&amp;coll=ACM&amp;dl=ACM&amp;CFID=87829722&amp;CFTOKEN=63554013</t>
  </si>
  <si>
    <t>On the Construction of Practical Key Predistribution Schemes for Distributed Sensor Networks Using Combinatorial Designs</t>
  </si>
  <si>
    <t>Jooyoung Lee, Douglas R. Stinson</t>
  </si>
  <si>
    <t xml:space="preserve">ACM TISSEC, Vol 11 </t>
  </si>
  <si>
    <t>http://delivery.acm.org/10.1145/1340000/1330333/a1-lee.pdf?key1=1330333&amp;key2=6936853721&amp;coll=ACM&amp;dl=ACM&amp;CFID=86975485&amp;CFTOKEN=39289696</t>
  </si>
  <si>
    <t>IEEE Milcom 2008</t>
  </si>
  <si>
    <t>GNSS-based Positioning: Attacks and
Countermeasures</t>
  </si>
  <si>
    <t>P. Papadimitratos and A. Jovanovic</t>
  </si>
  <si>
    <t>An asymetric Security Mechanism for Navigation Signals</t>
  </si>
  <si>
    <t>M. Kuhn</t>
  </si>
  <si>
    <t>Information Hiding Workshop, 2004</t>
  </si>
  <si>
    <t>G.W. Hein and F. Kneissl</t>
  </si>
  <si>
    <t>Authenticating GNSS Proofs Against Spoofs</t>
  </si>
  <si>
    <t>InsideGNSS, Sept. Oct. 2007</t>
  </si>
  <si>
    <t>B. O‟Hanlon, B. Ledvina, M.L. Psiaki, P.M. Kintner Jr., T. E. Humphreys</t>
  </si>
  <si>
    <t>Assessing
the GPS Spoofing Threat</t>
  </si>
  <si>
    <t>GPS World, January 2009</t>
  </si>
  <si>
    <t>An Analytic Framework for Modeling and Detecting Access Layer Misbehavior in Wireless Networks</t>
  </si>
  <si>
    <t>Svetlana Radosavac, George Moustakides, John S. Baras, Iordanis Koutsopoulos</t>
  </si>
  <si>
    <t>ACM TISSEC, Vol 11 no 4, July 2008</t>
  </si>
  <si>
    <t>http://delivery.acm.org/10.1145/1390000/1380567/a19-radosavac.pdf?key1=1380567&amp;key2=9486853721&amp;coll=ACM&amp;dl=ACM&amp;CFID=86975485&amp;CFTOKEN=39289696</t>
  </si>
  <si>
    <t>Redoubtable Sensor Networks</t>
  </si>
  <si>
    <t>Roberto Di Pietro, Luigi V. Mancini, Alessandro Mei, Alessandro Panconesi, Jaikumar Radhakrishnan</t>
  </si>
  <si>
    <t>http://delivery.acm.org/10.1145/1350000/1341734/a13-di_pietro.pdf?key1=1341734&amp;key2=7496853721&amp;coll=ACM&amp;dl=ACM&amp;CFID=86975485&amp;CFTOKEN=39289696</t>
  </si>
  <si>
    <t xml:space="preserve">ACM TISSEC, Vol 11, no 4, March 2008  </t>
  </si>
  <si>
    <t>On the difficulty of software-based attestation of embedded devices</t>
  </si>
  <si>
    <t xml:space="preserve">Claude Castelluccia, Aurélien Francillon, Daniele Perito, Claudio Soriente </t>
  </si>
  <si>
    <t>Katharine Chang, Kang G. Shin</t>
  </si>
  <si>
    <t>Distributed Authentication of Program Integrity Verification in WSN</t>
  </si>
  <si>
    <t>ACM TISSEC, vol 11, no 2, March 2008</t>
  </si>
  <si>
    <t>http://delivery.acm.org/10.1145/1660000/1653711/p400-castelluccia.pdf?key1=1653711&amp;key2=6307853721&amp;coll=ACM&amp;dl=ACM&amp;CFID=88913229&amp;CFTOKEN=63084297</t>
  </si>
  <si>
    <t>http://delivery.acm.org/10.1145/1350000/1341735/a14-chang.pdf?key1=1341735&amp;key2=2707853721&amp;coll=ACM&amp;dl=ACM&amp;CFID=86975485&amp;CFTOKEN=39289696</t>
  </si>
  <si>
    <t>Effects of mobility and multihoming on transport-protocol security</t>
  </si>
  <si>
    <t>Aura, T.  Nikander, P.  Camarillo</t>
  </si>
  <si>
    <t>IEEE S&amp;P 2004</t>
  </si>
  <si>
    <t>Trustworthy and personalized computing on public kiosks</t>
  </si>
  <si>
    <t xml:space="preserve">Scott Garriss, Rámon Cáceres, Stefan Berger, Reiner Sailer, Leendert van Doorn, Xiaolan Zhang </t>
  </si>
  <si>
    <t>http://delivery.acm.org/10.1145/1380000/1378623/p199-garriss.pdf?key1=1378623&amp;key2=7717853721&amp;coll=ACM&amp;dl=ACM&amp;CFID=87829722&amp;CFTOKEN=63554013</t>
  </si>
  <si>
    <t xml:space="preserve">  Securing wireless sensor networks against large-scale node capture attacks </t>
  </si>
  <si>
    <t xml:space="preserve">Tuan Manh Vu, Reihaneh Safavi-Naini, Carey Williamson </t>
  </si>
  <si>
    <t>ACM ASIACCS 2010</t>
  </si>
  <si>
    <t>http://delivery.acm.org/10.1145/1760000/1755703/p112-vu.pdf?key1=1755703&amp;key2=9827853721&amp;coll=ACM&amp;dl=ACM&amp;CFID=87829722&amp;CFTOKEN=63554013</t>
  </si>
  <si>
    <t>Presenter</t>
  </si>
  <si>
    <t>Notes</t>
  </si>
  <si>
    <t>http://research.microsoft.com/pubs/67320/aura-nikander-camarillo-ssp04.pdf</t>
  </si>
  <si>
    <t>http://www.secure-medicine.org/public/publications/icd-study.pdf</t>
  </si>
  <si>
    <t>http://www.cs.ru.nl/~flaviog/publications/Pickpocketing.Mifare.pdf</t>
  </si>
  <si>
    <t>http://www.eng.tau.ac.il/~yash/p325-kogan.pdf</t>
  </si>
  <si>
    <t>http://www.cl.cam.ac.uk/~mgk25/ih2004-navsec.pdf</t>
  </si>
  <si>
    <t>http://www.insidegnss.com/auto/IGM%20Jul_Aug_07%20Working%20Papers.pdf</t>
  </si>
  <si>
    <t>http://www.ee.kth.se/~papadim/publications/fulltext/gnss-GPS-security-c1.pdf</t>
  </si>
  <si>
    <t>http://www.nxtbook.com/nxtbooks/questex/gps0109/index.php?startid=28#/24</t>
  </si>
  <si>
    <t>Suggested READING LIST - ANSS Fall 2013</t>
  </si>
  <si>
    <t>information theory+statistics</t>
    <phoneticPr fontId="5" type="noConversion"/>
  </si>
  <si>
    <t>massive MIMO - secure communication NSS IEEE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</si>
</sst>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u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b/>
      <u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3" fillId="0" borderId="0" xfId="1" applyNumberFormat="1" applyAlignment="1" applyProtection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usenix.org/media/events/sec09/tech/mp3/cannings.mp3" TargetMode="External"/><Relationship Id="rId21" Type="http://schemas.openxmlformats.org/officeDocument/2006/relationships/hyperlink" Target="http://delivery.acm.org/10.1145/1520000/1514286/p79-tews.pdf?key1=1514286&amp;key2=7488753721&amp;coll=ACM&amp;dl=ACM&amp;CFID=87829722&amp;CFTOKEN=63554013" TargetMode="External"/><Relationship Id="rId34" Type="http://schemas.openxmlformats.org/officeDocument/2006/relationships/hyperlink" Target="http://delivery.acm.org/10.1145/960000/958521/p255-przydatek.pdf?key1=958521&amp;key2=7254853721&amp;coll=ACM&amp;dl=ACM&amp;CFID=87829722&amp;CFTOKEN=63554013" TargetMode="External"/><Relationship Id="rId42" Type="http://schemas.openxmlformats.org/officeDocument/2006/relationships/hyperlink" Target="http://delivery.acm.org/10.1145/1530000/1525858/a20-castelluccia.pdf?key1=1525858&amp;key2=1625853721&amp;coll=ACM&amp;dl=ACM&amp;CFID=86975485&amp;CFTOKEN=39289696" TargetMode="External"/><Relationship Id="rId47" Type="http://schemas.openxmlformats.org/officeDocument/2006/relationships/hyperlink" Target="http://delivery.acm.org/10.1145/1250000/1247690/p258-cheng.pdf?key1=1247690&amp;key2=5595853721&amp;coll=ACM&amp;dl=ACM&amp;CFID=87829722&amp;CFTOKEN=63554013" TargetMode="External"/><Relationship Id="rId50" Type="http://schemas.openxmlformats.org/officeDocument/2006/relationships/hyperlink" Target="http://delivery.acm.org/10.1145/1330000/1322322/p413-lu.pdf?key1=1322322&amp;key2=2726853721&amp;coll=ACM&amp;dl=ACM&amp;CFID=87829722&amp;CFTOKEN=63554013" TargetMode="External"/><Relationship Id="rId55" Type="http://schemas.openxmlformats.org/officeDocument/2006/relationships/hyperlink" Target="http://delivery.acm.org/10.1145/1350000/1341735/a14-chang.pdf?key1=1341735&amp;key2=2707853721&amp;coll=ACM&amp;dl=ACM&amp;CFID=86975485&amp;CFTOKEN=39289696" TargetMode="External"/><Relationship Id="rId63" Type="http://schemas.openxmlformats.org/officeDocument/2006/relationships/hyperlink" Target="http://www.insidegnss.com/auto/IGM%20Jul_Aug_07%20Working%20Papers.pdf" TargetMode="External"/><Relationship Id="rId7" Type="http://schemas.openxmlformats.org/officeDocument/2006/relationships/hyperlink" Target="http://delivery.acm.org/10.1145/1370000/1368352/p292-paise.pdf?key1=1368352&amp;key2=5667753721&amp;coll=ACM&amp;dl=ACM&amp;CFID=87829722&amp;CFTOKEN=63554013" TargetMode="External"/><Relationship Id="rId2" Type="http://schemas.openxmlformats.org/officeDocument/2006/relationships/hyperlink" Target="http://delivery.acm.org/10.1145/1620000/1614356/p321-jana.pdf?key1=1614356&amp;key2=0416753721&amp;coll=ACM&amp;dl=ACM&amp;CFID=87829722&amp;CFTOKEN=63554013" TargetMode="External"/><Relationship Id="rId16" Type="http://schemas.openxmlformats.org/officeDocument/2006/relationships/hyperlink" Target="http://delivery.acm.org/10.1145/1290000/1287866/p99-pang.pdf?key1=1287866&amp;key2=0348753721&amp;coll=ACM&amp;dl=ACM&amp;CFID=87829722&amp;CFTOKEN=63554013" TargetMode="External"/><Relationship Id="rId29" Type="http://schemas.openxmlformats.org/officeDocument/2006/relationships/hyperlink" Target="http://delivery.acm.org/10.1145/1560000/1555819/p15-liu.pdf?key1=1555819&amp;key2=4473853721&amp;coll=ACM&amp;dl=ACM&amp;CFID=87829722&amp;CFTOKEN=63554013" TargetMode="External"/><Relationship Id="rId11" Type="http://schemas.openxmlformats.org/officeDocument/2006/relationships/hyperlink" Target="http://delivery.acm.org/10.1145/1610000/1609963/a7-juels.pdf?key1=1609963&amp;key2=3897753721&amp;coll=ACM&amp;dl=ACM&amp;CFID=86975485&amp;CFTOKEN=39289696" TargetMode="External"/><Relationship Id="rId24" Type="http://schemas.openxmlformats.org/officeDocument/2006/relationships/hyperlink" Target="http://delivery.acm.org/10.1145/1140000/1134682/p1-bahl.pdf?key1=1134682&amp;key2=0009753721&amp;coll=ACM&amp;dl=ACM&amp;CFID=87829722&amp;CFTOKEN=63554013" TargetMode="External"/><Relationship Id="rId32" Type="http://schemas.openxmlformats.org/officeDocument/2006/relationships/hyperlink" Target="http://delivery.acm.org/10.1145/1470000/1460496/p447-shih.pdf?key1=1460496&amp;key2=5134853721&amp;coll=ACM&amp;dl=ACM&amp;CFID=87829722&amp;CFTOKEN=63554013" TargetMode="External"/><Relationship Id="rId37" Type="http://schemas.openxmlformats.org/officeDocument/2006/relationships/hyperlink" Target="http://delivery.acm.org/10.1145/1540000/1530779/p219-jin.pdf?key1=1530779&amp;key2=1194853721&amp;coll=ACM&amp;dl=ACM&amp;CFID=87829722&amp;CFTOKEN=63554013" TargetMode="External"/><Relationship Id="rId40" Type="http://schemas.openxmlformats.org/officeDocument/2006/relationships/hyperlink" Target="http://delivery.acm.org/10.1145/1290000/1287887/p278-zhong.pdf?key1=1287887&amp;key2=1805853721&amp;coll=ACM&amp;dl=ACM&amp;CFID=87829722&amp;CFTOKEN=63554013" TargetMode="External"/><Relationship Id="rId45" Type="http://schemas.openxmlformats.org/officeDocument/2006/relationships/hyperlink" Target="http://ieeexplore.ieee.org/stamp/stamp.jsp?tp=&amp;arnumber=1004360" TargetMode="External"/><Relationship Id="rId53" Type="http://schemas.openxmlformats.org/officeDocument/2006/relationships/hyperlink" Target="http://delivery.acm.org/10.1145/1350000/1341734/a13-di_pietro.pdf?key1=1341734&amp;key2=7496853721&amp;coll=ACM&amp;dl=ACM&amp;CFID=86975485&amp;CFTOKEN=39289696" TargetMode="External"/><Relationship Id="rId58" Type="http://schemas.openxmlformats.org/officeDocument/2006/relationships/hyperlink" Target="http://research.microsoft.com/pubs/67320/aura-nikander-camarillo-ssp04.pdf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://delivery.acm.org/10.1145/1660000/1653668/p33-koscher.pdf?key1=1653668&amp;key2=3157753721&amp;coll=ACM&amp;dl=ACM&amp;CFID=88913229&amp;CFTOKEN=63084297" TargetMode="External"/><Relationship Id="rId61" Type="http://schemas.openxmlformats.org/officeDocument/2006/relationships/hyperlink" Target="http://www.eng.tau.ac.il/~yash/p325-kogan.pdf" TargetMode="External"/><Relationship Id="rId19" Type="http://schemas.openxmlformats.org/officeDocument/2006/relationships/hyperlink" Target="http://delivery.acm.org/10.1145/390000/381695/p180-borisov.pdf?key1=381695&amp;key2=6368753721&amp;coll=ACM&amp;dl=ACM&amp;CFID=87829722&amp;CFTOKEN=63554013" TargetMode="External"/><Relationship Id="rId14" Type="http://schemas.openxmlformats.org/officeDocument/2006/relationships/hyperlink" Target="http://delivery.acm.org/10.1145/1520000/1513603/a21-de_medeiros.pdf?key1=1513603&amp;key2=9628753721&amp;coll=ACM&amp;dl=ACM&amp;CFID=86975485&amp;CFTOKEN=39289696" TargetMode="External"/><Relationship Id="rId22" Type="http://schemas.openxmlformats.org/officeDocument/2006/relationships/hyperlink" Target="http://delivery.acm.org/10.1145/1520000/1514294/p131-yang.pdf?key1=1514294&amp;key2=1988753721&amp;coll=ACM&amp;dl=ACM&amp;CFID=87829722&amp;CFTOKEN=63554013" TargetMode="External"/><Relationship Id="rId27" Type="http://schemas.openxmlformats.org/officeDocument/2006/relationships/hyperlink" Target="http://delivery.acm.org/10.1145/1660000/1653691/p235-enck.pdf?key1=1653691&amp;key2=2879753721&amp;coll=ACM&amp;dl=ACM&amp;CFID=88913229&amp;CFTOKEN=63084297" TargetMode="External"/><Relationship Id="rId30" Type="http://schemas.openxmlformats.org/officeDocument/2006/relationships/hyperlink" Target="http://www.usenix.org/events/sec07/tech/full_papers/traynor/traynor.pdf" TargetMode="External"/><Relationship Id="rId35" Type="http://schemas.openxmlformats.org/officeDocument/2006/relationships/hyperlink" Target="http://icapeople.epfl.ch/panos/eff-secure-robust-aggregation.pdf" TargetMode="External"/><Relationship Id="rId43" Type="http://schemas.openxmlformats.org/officeDocument/2006/relationships/hyperlink" Target="http://www.usenix.org/events/sec09/tech/full_papers/popper.pdf" TargetMode="External"/><Relationship Id="rId48" Type="http://schemas.openxmlformats.org/officeDocument/2006/relationships/hyperlink" Target="http://delivery.acm.org/10.1145/1620000/1614355/p309-hugelshofer.pdf?key1=1614355&amp;key2=5206853721&amp;coll=ACM&amp;dl=ACM&amp;CFID=87829722&amp;CFTOKEN=63554013" TargetMode="External"/><Relationship Id="rId56" Type="http://schemas.openxmlformats.org/officeDocument/2006/relationships/hyperlink" Target="http://delivery.acm.org/10.1145/1380000/1378623/p199-garriss.pdf?key1=1378623&amp;key2=7717853721&amp;coll=ACM&amp;dl=ACM&amp;CFID=87829722&amp;CFTOKEN=63554013" TargetMode="External"/><Relationship Id="rId64" Type="http://schemas.openxmlformats.org/officeDocument/2006/relationships/hyperlink" Target="http://www.ee.kth.se/~papadim/publications/fulltext/gnss-GPS-security-c1.pdf" TargetMode="External"/><Relationship Id="rId8" Type="http://schemas.openxmlformats.org/officeDocument/2006/relationships/hyperlink" Target="http://www.usenix.org/events/sec08/tech/full_papers/juels/juels.pdf" TargetMode="External"/><Relationship Id="rId51" Type="http://schemas.openxmlformats.org/officeDocument/2006/relationships/hyperlink" Target="http://delivery.acm.org/10.1145/1340000/1330333/a1-lee.pdf?key1=1330333&amp;key2=6936853721&amp;coll=ACM&amp;dl=ACM&amp;CFID=86975485&amp;CFTOKEN=39289696" TargetMode="External"/><Relationship Id="rId3" Type="http://schemas.openxmlformats.org/officeDocument/2006/relationships/hyperlink" Target="http://gaia.cs.umass.edu/networks/papers/infocom-2010-shared-secrets.pdf" TargetMode="External"/><Relationship Id="rId12" Type="http://schemas.openxmlformats.org/officeDocument/2006/relationships/hyperlink" Target="http://delivery.acm.org/10.1145/1370000/1368351/p283-burmester.pdf?key1=1368351&amp;key2=2508753721&amp;coll=ACM&amp;dl=ACM&amp;CFID=87829722&amp;CFTOKEN=63554013" TargetMode="External"/><Relationship Id="rId17" Type="http://schemas.openxmlformats.org/officeDocument/2006/relationships/hyperlink" Target="http://www.usenix.org/events/sec06/tech/full_papers/franklin/franklin.pdf" TargetMode="External"/><Relationship Id="rId25" Type="http://schemas.openxmlformats.org/officeDocument/2006/relationships/hyperlink" Target="http://www.usenix.org/events/sec04/tech/full_papers/balfanz/balfanz.pdf" TargetMode="External"/><Relationship Id="rId33" Type="http://schemas.openxmlformats.org/officeDocument/2006/relationships/hyperlink" Target="http://delivery.acm.org/10.1145/1350000/1341733/a12-zhang.pdf?key1=1341733&amp;key2=5444853721&amp;coll=ACM&amp;dl=ACM&amp;CFID=86975485&amp;CFTOKEN=39289696" TargetMode="External"/><Relationship Id="rId38" Type="http://schemas.openxmlformats.org/officeDocument/2006/relationships/hyperlink" Target="http://delivery.acm.org/10.1145/1140000/1132919/p120-brown.pdf?key1=1132919&amp;key2=7894853721&amp;coll=ACM&amp;dl=ACM&amp;CFID=87829722&amp;CFTOKEN=63554013" TargetMode="External"/><Relationship Id="rId46" Type="http://schemas.openxmlformats.org/officeDocument/2006/relationships/hyperlink" Target="http://www.computer.org/portal/web/csdl/doi/10.1109/TMC.2007.1020" TargetMode="External"/><Relationship Id="rId59" Type="http://schemas.openxmlformats.org/officeDocument/2006/relationships/hyperlink" Target="http://www.secure-medicine.org/public/publications/icd-study.pdf" TargetMode="External"/><Relationship Id="rId20" Type="http://schemas.openxmlformats.org/officeDocument/2006/relationships/hyperlink" Target="http://delivery.acm.org/10.1145/1000000/996948/p319-stubblefield.pdf?key1=996948&amp;key2=8478753721&amp;coll=ACM&amp;dl=ACM&amp;CFID=86975485&amp;CFTOKEN=39289696" TargetMode="External"/><Relationship Id="rId41" Type="http://schemas.openxmlformats.org/officeDocument/2006/relationships/hyperlink" Target="http://delivery.acm.org/10.1145/1500000/1498919/a13-manulis.pdf?key1=1498919&amp;key2=4915853721&amp;coll=ACM&amp;dl=ACM&amp;CFID=86975485&amp;CFTOKEN=39289696" TargetMode="External"/><Relationship Id="rId54" Type="http://schemas.openxmlformats.org/officeDocument/2006/relationships/hyperlink" Target="http://delivery.acm.org/10.1145/1660000/1653711/p400-castelluccia.pdf?key1=1653711&amp;key2=6307853721&amp;coll=ACM&amp;dl=ACM&amp;CFID=88913229&amp;CFTOKEN=63084297" TargetMode="External"/><Relationship Id="rId62" Type="http://schemas.openxmlformats.org/officeDocument/2006/relationships/hyperlink" Target="http://www.cl.cam.ac.uk/~mgk25/ih2004-navsec.pdf" TargetMode="External"/><Relationship Id="rId1" Type="http://schemas.openxmlformats.org/officeDocument/2006/relationships/hyperlink" Target="http://delivery.acm.org/10.1145/1410000/1409960/p128-mathur.pdf?key1=1409960&amp;key2=7406753721&amp;coll=ACM&amp;dl=ACM&amp;CFID=87829722&amp;CFTOKEN=63554013" TargetMode="External"/><Relationship Id="rId6" Type="http://schemas.openxmlformats.org/officeDocument/2006/relationships/hyperlink" Target="http://www.usenix.org/events/sec08/tech/full_papers/nohl/nohl.pdf" TargetMode="External"/><Relationship Id="rId15" Type="http://schemas.openxmlformats.org/officeDocument/2006/relationships/hyperlink" Target="http://www.usenix.org/events/sec09/tech/full_papers/salajegheh.pdf" TargetMode="External"/><Relationship Id="rId23" Type="http://schemas.openxmlformats.org/officeDocument/2006/relationships/hyperlink" Target="http://delivery.acm.org/10.1145/1360000/1352541/p36-martinovic.pdf?key1=1352541&amp;key2=9498753721&amp;coll=ACM&amp;dl=ACM&amp;CFID=87829722&amp;CFTOKEN=63554013" TargetMode="External"/><Relationship Id="rId28" Type="http://schemas.openxmlformats.org/officeDocument/2006/relationships/hyperlink" Target="http://delivery.acm.org/10.1145/1660000/1653690/p223-traynor.pdf?key1=1653690&amp;key2=8589753721&amp;coll=ACM&amp;dl=ACM&amp;CFID=88913229&amp;CFTOKEN=63084297" TargetMode="External"/><Relationship Id="rId36" Type="http://schemas.openxmlformats.org/officeDocument/2006/relationships/hyperlink" Target="http://delivery.acm.org/10.1145/1380000/1378607/p40-greenstein.pdf?key1=1378607&amp;key2=0874853721&amp;coll=ACM&amp;dl=ACM&amp;CFID=87829722&amp;CFTOKEN=63554013" TargetMode="External"/><Relationship Id="rId49" Type="http://schemas.openxmlformats.org/officeDocument/2006/relationships/hyperlink" Target="http://delivery.acm.org/10.1145/1380000/1378627/p239-kim.pdf?key1=1378627&amp;key2=4706853721&amp;coll=ACM&amp;dl=ACM&amp;CFID=87829722&amp;CFTOKEN=63554013" TargetMode="External"/><Relationship Id="rId57" Type="http://schemas.openxmlformats.org/officeDocument/2006/relationships/hyperlink" Target="http://delivery.acm.org/10.1145/1760000/1755703/p112-vu.pdf?key1=1755703&amp;key2=9827853721&amp;coll=ACM&amp;dl=ACM&amp;CFID=87829722&amp;CFTOKEN=63554013" TargetMode="External"/><Relationship Id="rId10" Type="http://schemas.openxmlformats.org/officeDocument/2006/relationships/hyperlink" Target="http://delivery.acm.org/10.1145/1040000/1030112/p210-molnar.pdf?key1=1030112&amp;key2=8347753721&amp;coll=ACM&amp;dl=ACM&amp;CFID=88913229&amp;CFTOKEN=63084297" TargetMode="External"/><Relationship Id="rId31" Type="http://schemas.openxmlformats.org/officeDocument/2006/relationships/hyperlink" Target="http://delivery.acm.org/10.1145/1380000/1378626/p225-bose.pdf?key1=1378626&amp;key2=8204853721&amp;coll=ACM&amp;dl=ACM&amp;CFID=87829722&amp;CFTOKEN=63554013" TargetMode="External"/><Relationship Id="rId44" Type="http://schemas.openxmlformats.org/officeDocument/2006/relationships/hyperlink" Target="http://www.usenix.org/events/sec07/tech/drimer/drimer.pdf" TargetMode="External"/><Relationship Id="rId52" Type="http://schemas.openxmlformats.org/officeDocument/2006/relationships/hyperlink" Target="http://delivery.acm.org/10.1145/1390000/1380567/a19-radosavac.pdf?key1=1380567&amp;key2=9486853721&amp;coll=ACM&amp;dl=ACM&amp;CFID=86975485&amp;CFTOKEN=39289696" TargetMode="External"/><Relationship Id="rId60" Type="http://schemas.openxmlformats.org/officeDocument/2006/relationships/hyperlink" Target="http://www.cs.ru.nl/~flaviog/publications/Pickpocketing.Mifare.pdf" TargetMode="External"/><Relationship Id="rId65" Type="http://schemas.openxmlformats.org/officeDocument/2006/relationships/hyperlink" Target="http://www.nxtbook.com/nxtbooks/questex/gps0109/index.php?startid=28" TargetMode="External"/><Relationship Id="rId4" Type="http://schemas.openxmlformats.org/officeDocument/2006/relationships/hyperlink" Target="http://www2.ee.kth.se/conferences/cpsweek2010/PDF/IPSN/p070-croft.pdf" TargetMode="External"/><Relationship Id="rId9" Type="http://schemas.openxmlformats.org/officeDocument/2006/relationships/hyperlink" Target="http://delivery.acm.org/10.1145/1460000/1455831/p479-czeskis.pdf?key1=1455831&amp;key2=1977753721&amp;coll=ACM&amp;dl=ACM&amp;CFID=88913229&amp;CFTOKEN=63084297" TargetMode="External"/><Relationship Id="rId13" Type="http://schemas.openxmlformats.org/officeDocument/2006/relationships/hyperlink" Target="http://www.usenix.org/events/sec09/tech/full_papers/danev.pdf" TargetMode="External"/><Relationship Id="rId18" Type="http://schemas.openxmlformats.org/officeDocument/2006/relationships/hyperlink" Target="http://delivery.acm.org/10.1145/1520000/1514293/p123-lindqvist.pdf?key1=1514293&amp;key2=0858753721&amp;coll=ACM&amp;dl=ACM&amp;CFID=87829722&amp;CFTOKEN=63554013" TargetMode="External"/><Relationship Id="rId39" Type="http://schemas.openxmlformats.org/officeDocument/2006/relationships/hyperlink" Target="http://delivery.acm.org/10.1145/940000/939011/p245-anderegg.pdf?key1=939011&amp;key2=3405853721&amp;coll=ACM&amp;dl=ACM&amp;CFID=87829722&amp;CFTOKEN=63554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79" zoomScale="70" zoomScaleNormal="70" workbookViewId="0">
      <selection activeCell="H84" sqref="H84"/>
    </sheetView>
  </sheetViews>
  <sheetFormatPr defaultColWidth="9.125" defaultRowHeight="50.1" customHeight="1" x14ac:dyDescent="0.15"/>
  <cols>
    <col min="1" max="1" width="4" style="2" customWidth="1"/>
    <col min="2" max="2" width="14.75" style="3" customWidth="1"/>
    <col min="3" max="3" width="2.125" style="2" customWidth="1"/>
    <col min="4" max="4" width="43.875" style="2" customWidth="1"/>
    <col min="5" max="5" width="46.625" style="2" customWidth="1"/>
    <col min="6" max="6" width="16.125" style="2" customWidth="1"/>
    <col min="7" max="7" width="58.625" style="2" customWidth="1"/>
    <col min="8" max="8" width="24.875" customWidth="1"/>
    <col min="9" max="9" width="27.75" style="2" customWidth="1"/>
    <col min="10" max="16384" width="9.125" style="2"/>
  </cols>
  <sheetData>
    <row r="1" spans="1:9" s="5" customFormat="1" ht="50.1" customHeight="1" x14ac:dyDescent="0.15">
      <c r="D1" s="5" t="s">
        <v>116</v>
      </c>
      <c r="E1" s="5" t="s">
        <v>276</v>
      </c>
      <c r="G1" s="5" t="s">
        <v>117</v>
      </c>
      <c r="H1" s="5" t="s">
        <v>266</v>
      </c>
      <c r="I1" s="5" t="s">
        <v>267</v>
      </c>
    </row>
    <row r="2" spans="1:9" ht="15" customHeight="1" x14ac:dyDescent="0.15"/>
    <row r="3" spans="1:9" s="1" customFormat="1" ht="33.75" customHeight="1" x14ac:dyDescent="0.15">
      <c r="B3" s="1" t="s">
        <v>3</v>
      </c>
      <c r="D3" s="1" t="s">
        <v>0</v>
      </c>
      <c r="E3" s="1" t="s">
        <v>1</v>
      </c>
      <c r="F3" s="1" t="s">
        <v>65</v>
      </c>
      <c r="G3" s="1" t="s">
        <v>2</v>
      </c>
      <c r="H3"/>
    </row>
    <row r="4" spans="1:9" ht="50.1" customHeight="1" x14ac:dyDescent="0.15">
      <c r="A4" s="2">
        <v>1</v>
      </c>
      <c r="B4" s="3" t="s">
        <v>4</v>
      </c>
      <c r="C4" s="2">
        <v>1</v>
      </c>
      <c r="D4" s="2" t="s">
        <v>5</v>
      </c>
      <c r="E4" s="2" t="s">
        <v>6</v>
      </c>
      <c r="F4" s="2" t="s">
        <v>7</v>
      </c>
      <c r="G4" s="4" t="s">
        <v>8</v>
      </c>
    </row>
    <row r="5" spans="1:9" ht="50.1" customHeight="1" x14ac:dyDescent="0.15">
      <c r="C5" s="2">
        <f>C4+1</f>
        <v>2</v>
      </c>
      <c r="D5" s="2" t="s">
        <v>9</v>
      </c>
      <c r="E5" s="2" t="s">
        <v>13</v>
      </c>
      <c r="F5" s="2" t="s">
        <v>10</v>
      </c>
      <c r="G5" s="4" t="s">
        <v>12</v>
      </c>
    </row>
    <row r="6" spans="1:9" ht="50.1" customHeight="1" x14ac:dyDescent="0.15">
      <c r="C6" s="2">
        <f>C5+1</f>
        <v>3</v>
      </c>
      <c r="D6" s="2" t="s">
        <v>14</v>
      </c>
      <c r="E6" s="2" t="s">
        <v>15</v>
      </c>
      <c r="F6" s="2" t="s">
        <v>16</v>
      </c>
      <c r="G6" s="4" t="s">
        <v>17</v>
      </c>
    </row>
    <row r="7" spans="1:9" ht="50.1" customHeight="1" x14ac:dyDescent="0.15">
      <c r="C7" s="2">
        <f>C6+1</f>
        <v>4</v>
      </c>
      <c r="D7" s="2" t="s">
        <v>18</v>
      </c>
      <c r="E7" s="2" t="s">
        <v>11</v>
      </c>
      <c r="F7" s="2" t="s">
        <v>19</v>
      </c>
      <c r="G7" s="4" t="s">
        <v>20</v>
      </c>
    </row>
    <row r="9" spans="1:9" ht="50.1" customHeight="1" x14ac:dyDescent="0.15">
      <c r="A9" s="2">
        <f>A4+1</f>
        <v>2</v>
      </c>
      <c r="B9" s="3" t="s">
        <v>39</v>
      </c>
      <c r="C9" s="2">
        <v>1</v>
      </c>
      <c r="D9" s="2" t="s">
        <v>34</v>
      </c>
      <c r="E9" s="2" t="s">
        <v>35</v>
      </c>
      <c r="F9" s="2" t="s">
        <v>36</v>
      </c>
      <c r="G9" s="4" t="s">
        <v>37</v>
      </c>
    </row>
    <row r="10" spans="1:9" ht="50.1" customHeight="1" x14ac:dyDescent="0.15">
      <c r="C10" s="2">
        <f>C9+1</f>
        <v>2</v>
      </c>
      <c r="D10" s="2" t="s">
        <v>38</v>
      </c>
      <c r="E10" s="2" t="s">
        <v>41</v>
      </c>
      <c r="F10" s="2" t="s">
        <v>43</v>
      </c>
      <c r="G10" s="4" t="s">
        <v>42</v>
      </c>
    </row>
    <row r="11" spans="1:9" ht="50.1" customHeight="1" x14ac:dyDescent="0.15">
      <c r="C11" s="2">
        <f>C10+1</f>
        <v>3</v>
      </c>
      <c r="D11" s="2" t="s">
        <v>47</v>
      </c>
      <c r="E11" s="2" t="s">
        <v>44</v>
      </c>
      <c r="F11" s="2" t="s">
        <v>46</v>
      </c>
      <c r="G11" s="4" t="s">
        <v>45</v>
      </c>
    </row>
    <row r="13" spans="1:9" ht="50.1" customHeight="1" x14ac:dyDescent="0.15">
      <c r="A13" s="2">
        <f>A9+1</f>
        <v>3</v>
      </c>
      <c r="B13" s="3" t="s">
        <v>49</v>
      </c>
      <c r="C13" s="2">
        <v>1</v>
      </c>
      <c r="D13" s="2" t="s">
        <v>63</v>
      </c>
      <c r="E13" s="2" t="s">
        <v>64</v>
      </c>
      <c r="F13" s="2" t="s">
        <v>66</v>
      </c>
      <c r="G13" s="4" t="s">
        <v>67</v>
      </c>
    </row>
    <row r="14" spans="1:9" ht="50.1" customHeight="1" x14ac:dyDescent="0.15">
      <c r="C14" s="2">
        <f>C13+1</f>
        <v>2</v>
      </c>
      <c r="D14" s="2" t="s">
        <v>68</v>
      </c>
      <c r="E14" s="2" t="s">
        <v>69</v>
      </c>
      <c r="F14" s="2" t="s">
        <v>51</v>
      </c>
      <c r="G14" s="4" t="s">
        <v>70</v>
      </c>
    </row>
    <row r="15" spans="1:9" ht="50.1" customHeight="1" x14ac:dyDescent="0.15">
      <c r="C15" s="2">
        <f>C14+1</f>
        <v>3</v>
      </c>
      <c r="D15" s="2" t="s">
        <v>48</v>
      </c>
      <c r="E15" s="2" t="s">
        <v>50</v>
      </c>
      <c r="F15" s="2" t="s">
        <v>51</v>
      </c>
      <c r="G15" s="4" t="s">
        <v>52</v>
      </c>
    </row>
    <row r="16" spans="1:9" ht="50.1" customHeight="1" x14ac:dyDescent="0.15">
      <c r="C16" s="2">
        <f>C15+1</f>
        <v>4</v>
      </c>
      <c r="D16" s="2" t="s">
        <v>71</v>
      </c>
      <c r="E16" s="2" t="s">
        <v>72</v>
      </c>
      <c r="F16" s="2" t="s">
        <v>74</v>
      </c>
      <c r="G16" s="4" t="s">
        <v>73</v>
      </c>
    </row>
    <row r="18" spans="1:7" ht="50.1" customHeight="1" x14ac:dyDescent="0.15">
      <c r="A18" s="2">
        <f>A13+1</f>
        <v>4</v>
      </c>
      <c r="B18" s="3" t="s">
        <v>40</v>
      </c>
      <c r="C18" s="2">
        <v>1</v>
      </c>
      <c r="D18" s="2" t="s">
        <v>55</v>
      </c>
      <c r="E18" s="2" t="s">
        <v>53</v>
      </c>
      <c r="F18" s="2" t="s">
        <v>54</v>
      </c>
      <c r="G18" s="4" t="s">
        <v>60</v>
      </c>
    </row>
    <row r="19" spans="1:7" ht="50.1" customHeight="1" x14ac:dyDescent="0.15">
      <c r="C19" s="2">
        <f>C18+1</f>
        <v>2</v>
      </c>
      <c r="D19" s="2" t="s">
        <v>56</v>
      </c>
      <c r="E19" s="2" t="s">
        <v>57</v>
      </c>
      <c r="F19" s="2" t="s">
        <v>58</v>
      </c>
      <c r="G19" s="4" t="s">
        <v>59</v>
      </c>
    </row>
    <row r="20" spans="1:7" ht="50.1" customHeight="1" x14ac:dyDescent="0.15">
      <c r="C20" s="2">
        <f>C19+1</f>
        <v>3</v>
      </c>
      <c r="D20" s="2" t="s">
        <v>61</v>
      </c>
      <c r="E20" s="2" t="s">
        <v>62</v>
      </c>
      <c r="F20" s="2" t="s">
        <v>54</v>
      </c>
      <c r="G20" s="4" t="s">
        <v>79</v>
      </c>
    </row>
    <row r="21" spans="1:7" ht="50.1" customHeight="1" x14ac:dyDescent="0.15">
      <c r="C21" s="2">
        <f>C20+1</f>
        <v>4</v>
      </c>
      <c r="D21" s="2" t="s">
        <v>75</v>
      </c>
      <c r="E21" s="2" t="s">
        <v>76</v>
      </c>
      <c r="F21" s="2" t="s">
        <v>77</v>
      </c>
      <c r="G21" s="4" t="s">
        <v>78</v>
      </c>
    </row>
    <row r="23" spans="1:7" ht="50.1" customHeight="1" x14ac:dyDescent="0.15">
      <c r="A23" s="2">
        <v>5</v>
      </c>
      <c r="B23" s="3" t="s">
        <v>21</v>
      </c>
      <c r="C23" s="2">
        <v>1</v>
      </c>
      <c r="D23" s="2" t="s">
        <v>92</v>
      </c>
      <c r="E23" s="2" t="s">
        <v>93</v>
      </c>
      <c r="F23" s="2" t="s">
        <v>94</v>
      </c>
      <c r="G23" s="4" t="s">
        <v>95</v>
      </c>
    </row>
    <row r="24" spans="1:7" ht="50.1" customHeight="1" x14ac:dyDescent="0.15">
      <c r="C24" s="2">
        <f>C23+1</f>
        <v>2</v>
      </c>
      <c r="D24" s="2" t="s">
        <v>100</v>
      </c>
      <c r="E24" s="2" t="s">
        <v>101</v>
      </c>
      <c r="F24" s="2" t="s">
        <v>118</v>
      </c>
    </row>
    <row r="25" spans="1:7" ht="50.1" customHeight="1" x14ac:dyDescent="0.15">
      <c r="C25" s="2">
        <f>C24+1</f>
        <v>3</v>
      </c>
      <c r="D25" s="2" t="s">
        <v>102</v>
      </c>
      <c r="E25" s="2" t="s">
        <v>103</v>
      </c>
      <c r="G25" s="4" t="s">
        <v>104</v>
      </c>
    </row>
    <row r="26" spans="1:7" ht="50.1" customHeight="1" x14ac:dyDescent="0.15">
      <c r="C26" s="2">
        <f>C25+1</f>
        <v>4</v>
      </c>
      <c r="D26" s="2" t="s">
        <v>96</v>
      </c>
      <c r="E26" s="2" t="s">
        <v>97</v>
      </c>
      <c r="F26" s="2" t="s">
        <v>98</v>
      </c>
      <c r="G26" s="4" t="s">
        <v>99</v>
      </c>
    </row>
    <row r="28" spans="1:7" ht="50.1" customHeight="1" x14ac:dyDescent="0.15">
      <c r="A28" s="2">
        <v>6</v>
      </c>
      <c r="B28" s="3" t="s">
        <v>22</v>
      </c>
      <c r="C28" s="2">
        <v>1</v>
      </c>
      <c r="D28" s="2" t="s">
        <v>80</v>
      </c>
      <c r="E28" s="2" t="s">
        <v>81</v>
      </c>
      <c r="F28" s="2" t="s">
        <v>82</v>
      </c>
      <c r="G28" s="4" t="s">
        <v>83</v>
      </c>
    </row>
    <row r="29" spans="1:7" ht="50.1" customHeight="1" x14ac:dyDescent="0.15">
      <c r="C29" s="2">
        <f>C28+1</f>
        <v>2</v>
      </c>
      <c r="D29" s="2" t="s">
        <v>84</v>
      </c>
      <c r="E29" s="2" t="s">
        <v>87</v>
      </c>
      <c r="F29" s="2" t="s">
        <v>86</v>
      </c>
      <c r="G29" s="4" t="s">
        <v>85</v>
      </c>
    </row>
    <row r="30" spans="1:7" ht="50.1" customHeight="1" x14ac:dyDescent="0.15">
      <c r="C30" s="2">
        <f>C29+1</f>
        <v>3</v>
      </c>
      <c r="D30" s="2" t="s">
        <v>88</v>
      </c>
      <c r="E30" s="2" t="s">
        <v>89</v>
      </c>
      <c r="F30" s="2" t="s">
        <v>91</v>
      </c>
      <c r="G30" s="4" t="s">
        <v>90</v>
      </c>
    </row>
    <row r="31" spans="1:7" ht="50.1" customHeight="1" x14ac:dyDescent="0.15">
      <c r="C31" s="2">
        <f>C30+1</f>
        <v>4</v>
      </c>
      <c r="D31" s="2" t="s">
        <v>160</v>
      </c>
      <c r="E31" s="2" t="s">
        <v>161</v>
      </c>
      <c r="F31" s="2" t="s">
        <v>143</v>
      </c>
      <c r="G31" s="4" t="s">
        <v>162</v>
      </c>
    </row>
    <row r="33" spans="1:7" ht="50.1" customHeight="1" x14ac:dyDescent="0.15">
      <c r="A33" s="2">
        <v>7</v>
      </c>
      <c r="B33" s="3" t="s">
        <v>29</v>
      </c>
      <c r="C33" s="2">
        <v>1</v>
      </c>
      <c r="D33" s="2" t="s">
        <v>105</v>
      </c>
      <c r="E33" s="2" t="s">
        <v>106</v>
      </c>
      <c r="F33" s="2" t="s">
        <v>91</v>
      </c>
      <c r="G33" s="4" t="s">
        <v>107</v>
      </c>
    </row>
    <row r="34" spans="1:7" ht="50.1" customHeight="1" x14ac:dyDescent="0.15">
      <c r="C34" s="2">
        <f>C33+1</f>
        <v>2</v>
      </c>
      <c r="D34" s="2" t="s">
        <v>108</v>
      </c>
      <c r="E34" s="2" t="s">
        <v>109</v>
      </c>
      <c r="F34" s="2" t="s">
        <v>111</v>
      </c>
      <c r="G34" s="4" t="s">
        <v>110</v>
      </c>
    </row>
    <row r="35" spans="1:7" ht="50.1" customHeight="1" x14ac:dyDescent="0.15">
      <c r="C35" s="2">
        <f>C34+1</f>
        <v>3</v>
      </c>
      <c r="D35" s="2" t="s">
        <v>112</v>
      </c>
      <c r="E35" s="2" t="s">
        <v>113</v>
      </c>
      <c r="F35" s="2" t="s">
        <v>114</v>
      </c>
      <c r="G35" s="4" t="s">
        <v>115</v>
      </c>
    </row>
    <row r="36" spans="1:7" ht="50.1" customHeight="1" x14ac:dyDescent="0.15">
      <c r="C36" s="2">
        <f>C35+1</f>
        <v>4</v>
      </c>
      <c r="D36" s="2" t="s">
        <v>119</v>
      </c>
      <c r="E36" s="2" t="s">
        <v>120</v>
      </c>
      <c r="F36" s="2" t="s">
        <v>121</v>
      </c>
      <c r="G36" s="4" t="s">
        <v>122</v>
      </c>
    </row>
    <row r="38" spans="1:7" ht="50.1" customHeight="1" x14ac:dyDescent="0.15">
      <c r="A38" s="2">
        <v>8</v>
      </c>
      <c r="B38" s="3" t="s">
        <v>30</v>
      </c>
      <c r="C38" s="2">
        <v>1</v>
      </c>
      <c r="D38" s="2" t="s">
        <v>126</v>
      </c>
      <c r="E38" s="2" t="s">
        <v>127</v>
      </c>
      <c r="F38" s="2" t="s">
        <v>43</v>
      </c>
      <c r="G38" s="4" t="s">
        <v>128</v>
      </c>
    </row>
    <row r="39" spans="1:7" ht="50.1" customHeight="1" x14ac:dyDescent="0.15">
      <c r="C39" s="2">
        <f>C38+1</f>
        <v>2</v>
      </c>
      <c r="D39" s="2" t="s">
        <v>131</v>
      </c>
      <c r="E39" s="2" t="s">
        <v>129</v>
      </c>
      <c r="F39" s="2" t="s">
        <v>43</v>
      </c>
      <c r="G39" s="4" t="s">
        <v>130</v>
      </c>
    </row>
    <row r="40" spans="1:7" ht="50.1" customHeight="1" x14ac:dyDescent="0.15">
      <c r="C40" s="2">
        <f>C39+1</f>
        <v>3</v>
      </c>
      <c r="D40" s="2" t="s">
        <v>132</v>
      </c>
      <c r="E40" s="2" t="s">
        <v>133</v>
      </c>
      <c r="F40" s="2" t="s">
        <v>134</v>
      </c>
      <c r="G40" s="4" t="s">
        <v>135</v>
      </c>
    </row>
    <row r="41" spans="1:7" ht="50.1" customHeight="1" x14ac:dyDescent="0.15">
      <c r="C41" s="2">
        <f>C40+1</f>
        <v>4</v>
      </c>
      <c r="D41" s="2" t="s">
        <v>136</v>
      </c>
      <c r="E41" s="2" t="s">
        <v>137</v>
      </c>
      <c r="F41" s="2" t="s">
        <v>138</v>
      </c>
      <c r="G41" s="4" t="s">
        <v>139</v>
      </c>
    </row>
    <row r="43" spans="1:7" ht="50.1" customHeight="1" x14ac:dyDescent="0.15">
      <c r="A43" s="2">
        <v>9</v>
      </c>
      <c r="B43" s="3" t="s">
        <v>31</v>
      </c>
      <c r="C43" s="2">
        <v>1</v>
      </c>
      <c r="D43" s="2" t="s">
        <v>123</v>
      </c>
      <c r="E43" s="2" t="s">
        <v>125</v>
      </c>
      <c r="F43" s="2" t="s">
        <v>74</v>
      </c>
      <c r="G43" s="4" t="s">
        <v>124</v>
      </c>
    </row>
    <row r="44" spans="1:7" ht="50.1" customHeight="1" x14ac:dyDescent="0.15">
      <c r="C44" s="2">
        <f>C43+1</f>
        <v>2</v>
      </c>
      <c r="D44" s="2" t="s">
        <v>256</v>
      </c>
      <c r="E44" s="2" t="s">
        <v>257</v>
      </c>
      <c r="F44" s="2" t="s">
        <v>258</v>
      </c>
      <c r="G44" s="4" t="s">
        <v>268</v>
      </c>
    </row>
    <row r="45" spans="1:7" ht="50.1" customHeight="1" x14ac:dyDescent="0.15">
      <c r="C45" s="2">
        <f>C44+1</f>
        <v>3</v>
      </c>
      <c r="D45" s="2" t="s">
        <v>259</v>
      </c>
      <c r="E45" s="2" t="s">
        <v>260</v>
      </c>
      <c r="F45" s="2" t="s">
        <v>143</v>
      </c>
      <c r="G45" s="4" t="s">
        <v>261</v>
      </c>
    </row>
    <row r="46" spans="1:7" ht="50.1" customHeight="1" x14ac:dyDescent="0.15">
      <c r="C46" s="2">
        <f>C45+1</f>
        <v>4</v>
      </c>
      <c r="D46" s="2" t="s">
        <v>140</v>
      </c>
      <c r="E46" s="2" t="s">
        <v>141</v>
      </c>
      <c r="F46" s="2" t="s">
        <v>143</v>
      </c>
      <c r="G46" s="4" t="s">
        <v>142</v>
      </c>
    </row>
    <row r="48" spans="1:7" ht="50.1" customHeight="1" x14ac:dyDescent="0.15">
      <c r="A48" s="2">
        <v>10</v>
      </c>
      <c r="B48" s="3" t="s">
        <v>23</v>
      </c>
      <c r="C48" s="2">
        <v>1</v>
      </c>
      <c r="D48" s="2" t="s">
        <v>152</v>
      </c>
      <c r="E48" s="2" t="s">
        <v>153</v>
      </c>
      <c r="F48" s="2" t="s">
        <v>154</v>
      </c>
      <c r="G48" s="4" t="s">
        <v>155</v>
      </c>
    </row>
    <row r="49" spans="1:7" ht="50.1" customHeight="1" x14ac:dyDescent="0.15">
      <c r="C49" s="2">
        <f>C48+1</f>
        <v>2</v>
      </c>
      <c r="D49" s="2" t="s">
        <v>156</v>
      </c>
      <c r="E49" s="2" t="s">
        <v>158</v>
      </c>
      <c r="F49" s="2" t="s">
        <v>159</v>
      </c>
      <c r="G49" s="4" t="s">
        <v>157</v>
      </c>
    </row>
    <row r="50" spans="1:7" ht="50.1" customHeight="1" x14ac:dyDescent="0.15">
      <c r="C50" s="2">
        <f>C49+1</f>
        <v>3</v>
      </c>
      <c r="D50" s="2" t="s">
        <v>178</v>
      </c>
      <c r="E50" s="2" t="s">
        <v>179</v>
      </c>
      <c r="F50" s="2" t="s">
        <v>180</v>
      </c>
      <c r="G50" s="4" t="s">
        <v>181</v>
      </c>
    </row>
    <row r="51" spans="1:7" ht="50.1" customHeight="1" x14ac:dyDescent="0.15">
      <c r="C51" s="2">
        <f>C50+1</f>
        <v>4</v>
      </c>
      <c r="D51" s="2" t="s">
        <v>182</v>
      </c>
      <c r="E51" s="2" t="s">
        <v>183</v>
      </c>
      <c r="F51" s="2" t="s">
        <v>184</v>
      </c>
      <c r="G51" s="4" t="s">
        <v>185</v>
      </c>
    </row>
    <row r="52" spans="1:7" ht="50.1" customHeight="1" x14ac:dyDescent="0.15">
      <c r="G52" s="4"/>
    </row>
    <row r="53" spans="1:7" ht="50.1" customHeight="1" x14ac:dyDescent="0.15">
      <c r="A53" s="2">
        <v>11</v>
      </c>
      <c r="B53" s="3" t="s">
        <v>32</v>
      </c>
      <c r="C53" s="2">
        <v>1</v>
      </c>
      <c r="D53" s="2" t="s">
        <v>195</v>
      </c>
      <c r="E53" s="2" t="s">
        <v>196</v>
      </c>
      <c r="F53" s="2" t="s">
        <v>197</v>
      </c>
      <c r="G53" s="4" t="s">
        <v>269</v>
      </c>
    </row>
    <row r="54" spans="1:7" ht="50.1" customHeight="1" x14ac:dyDescent="0.15">
      <c r="C54" s="2">
        <f>C53+1</f>
        <v>2</v>
      </c>
      <c r="D54" s="2" t="s">
        <v>249</v>
      </c>
      <c r="E54" s="2" t="s">
        <v>250</v>
      </c>
      <c r="F54" s="2" t="s">
        <v>43</v>
      </c>
      <c r="G54" s="4" t="s">
        <v>254</v>
      </c>
    </row>
    <row r="55" spans="1:7" ht="50.1" customHeight="1" x14ac:dyDescent="0.15">
      <c r="C55" s="2">
        <f>C54+1</f>
        <v>3</v>
      </c>
      <c r="D55" s="2" t="s">
        <v>252</v>
      </c>
      <c r="E55" s="2" t="s">
        <v>251</v>
      </c>
      <c r="F55" s="2" t="s">
        <v>253</v>
      </c>
      <c r="G55" s="4" t="s">
        <v>255</v>
      </c>
    </row>
    <row r="56" spans="1:7" ht="50.1" customHeight="1" x14ac:dyDescent="0.15">
      <c r="C56" s="2">
        <f>C55+1</f>
        <v>4</v>
      </c>
      <c r="D56" s="2" t="s">
        <v>262</v>
      </c>
      <c r="E56" s="2" t="s">
        <v>263</v>
      </c>
      <c r="F56" s="2" t="s">
        <v>264</v>
      </c>
      <c r="G56" s="4" t="s">
        <v>265</v>
      </c>
    </row>
    <row r="58" spans="1:7" ht="50.1" customHeight="1" x14ac:dyDescent="0.15">
      <c r="A58" s="2">
        <v>12</v>
      </c>
      <c r="B58" s="3" t="s">
        <v>33</v>
      </c>
      <c r="C58" s="2">
        <v>1</v>
      </c>
      <c r="D58" s="2" t="s">
        <v>192</v>
      </c>
      <c r="E58" s="2" t="s">
        <v>193</v>
      </c>
      <c r="F58" s="2" t="s">
        <v>194</v>
      </c>
      <c r="G58" s="4" t="s">
        <v>207</v>
      </c>
    </row>
    <row r="59" spans="1:7" ht="50.1" customHeight="1" x14ac:dyDescent="0.15">
      <c r="C59" s="2">
        <f>C58+1</f>
        <v>2</v>
      </c>
      <c r="D59" s="2" t="s">
        <v>198</v>
      </c>
      <c r="E59" s="2" t="s">
        <v>199</v>
      </c>
      <c r="F59" s="2" t="s">
        <v>200</v>
      </c>
      <c r="G59" s="4" t="s">
        <v>270</v>
      </c>
    </row>
    <row r="60" spans="1:7" ht="50.1" customHeight="1" x14ac:dyDescent="0.15">
      <c r="C60" s="2">
        <f>C59+1</f>
        <v>3</v>
      </c>
      <c r="D60" s="2" t="s">
        <v>201</v>
      </c>
      <c r="E60" s="2" t="s">
        <v>202</v>
      </c>
      <c r="F60" s="2" t="s">
        <v>203</v>
      </c>
      <c r="G60" s="4" t="s">
        <v>271</v>
      </c>
    </row>
    <row r="61" spans="1:7" ht="50.1" customHeight="1" x14ac:dyDescent="0.15">
      <c r="C61" s="2">
        <f>C60+1</f>
        <v>4</v>
      </c>
      <c r="D61" s="2" t="s">
        <v>189</v>
      </c>
      <c r="E61" s="2" t="s">
        <v>190</v>
      </c>
      <c r="F61" s="2" t="s">
        <v>138</v>
      </c>
      <c r="G61" s="4" t="s">
        <v>191</v>
      </c>
    </row>
    <row r="63" spans="1:7" ht="50.1" customHeight="1" x14ac:dyDescent="0.15">
      <c r="A63" s="2">
        <v>13</v>
      </c>
      <c r="B63" s="3" t="s">
        <v>24</v>
      </c>
      <c r="C63" s="2">
        <v>1</v>
      </c>
      <c r="D63" s="2" t="s">
        <v>144</v>
      </c>
      <c r="E63" s="2" t="s">
        <v>145</v>
      </c>
      <c r="F63" s="2" t="s">
        <v>146</v>
      </c>
      <c r="G63" s="4" t="s">
        <v>147</v>
      </c>
    </row>
    <row r="64" spans="1:7" ht="50.1" customHeight="1" x14ac:dyDescent="0.15">
      <c r="C64" s="2">
        <f>C63+1</f>
        <v>2</v>
      </c>
      <c r="D64" s="2" t="s">
        <v>205</v>
      </c>
      <c r="E64" s="2" t="s">
        <v>204</v>
      </c>
      <c r="F64" s="2" t="s">
        <v>206</v>
      </c>
      <c r="G64" s="4" t="s">
        <v>208</v>
      </c>
    </row>
    <row r="65" spans="1:7" ht="50.1" customHeight="1" x14ac:dyDescent="0.15">
      <c r="C65" s="2">
        <f>C64+1</f>
        <v>3</v>
      </c>
      <c r="D65" s="2" t="s">
        <v>225</v>
      </c>
      <c r="E65" s="2" t="s">
        <v>226</v>
      </c>
      <c r="F65" s="2" t="s">
        <v>227</v>
      </c>
      <c r="G65" s="4" t="s">
        <v>228</v>
      </c>
    </row>
    <row r="66" spans="1:7" ht="50.1" customHeight="1" x14ac:dyDescent="0.15">
      <c r="C66" s="2">
        <f>C65+1</f>
        <v>4</v>
      </c>
      <c r="D66" s="2" t="s">
        <v>245</v>
      </c>
      <c r="E66" s="2" t="s">
        <v>246</v>
      </c>
      <c r="F66" s="2" t="s">
        <v>248</v>
      </c>
      <c r="G66" s="4" t="s">
        <v>247</v>
      </c>
    </row>
    <row r="68" spans="1:7" ht="50.1" customHeight="1" x14ac:dyDescent="0.15">
      <c r="A68" s="2">
        <v>14</v>
      </c>
      <c r="B68" s="3" t="s">
        <v>25</v>
      </c>
      <c r="C68" s="2">
        <v>1</v>
      </c>
      <c r="D68" s="2" t="s">
        <v>148</v>
      </c>
      <c r="E68" s="2" t="s">
        <v>149</v>
      </c>
      <c r="F68" s="2" t="s">
        <v>150</v>
      </c>
      <c r="G68" s="4" t="s">
        <v>151</v>
      </c>
    </row>
    <row r="69" spans="1:7" ht="50.1" customHeight="1" x14ac:dyDescent="0.15">
      <c r="C69" s="2">
        <f>C68+1</f>
        <v>2</v>
      </c>
      <c r="D69" s="2" t="s">
        <v>217</v>
      </c>
      <c r="E69" s="2" t="s">
        <v>218</v>
      </c>
      <c r="F69" s="2" t="s">
        <v>219</v>
      </c>
      <c r="G69" s="4" t="s">
        <v>220</v>
      </c>
    </row>
    <row r="70" spans="1:7" ht="50.1" customHeight="1" x14ac:dyDescent="0.15">
      <c r="C70" s="2">
        <f>C69+1</f>
        <v>3</v>
      </c>
      <c r="D70" s="2" t="s">
        <v>213</v>
      </c>
      <c r="E70" s="2" t="s">
        <v>214</v>
      </c>
      <c r="F70" s="2" t="s">
        <v>215</v>
      </c>
      <c r="G70" s="4" t="s">
        <v>216</v>
      </c>
    </row>
    <row r="71" spans="1:7" ht="50.1" customHeight="1" x14ac:dyDescent="0.15">
      <c r="C71" s="2">
        <f>C70+1</f>
        <v>4</v>
      </c>
      <c r="D71" s="2" t="s">
        <v>209</v>
      </c>
      <c r="E71" s="2" t="s">
        <v>210</v>
      </c>
      <c r="F71" s="2" t="s">
        <v>211</v>
      </c>
      <c r="G71" s="4" t="s">
        <v>212</v>
      </c>
    </row>
    <row r="73" spans="1:7" ht="50.1" customHeight="1" x14ac:dyDescent="0.15">
      <c r="A73" s="2">
        <v>15</v>
      </c>
      <c r="B73" s="3" t="s">
        <v>26</v>
      </c>
      <c r="C73" s="2">
        <v>1</v>
      </c>
      <c r="D73" s="2" t="s">
        <v>186</v>
      </c>
      <c r="E73" s="2" t="s">
        <v>187</v>
      </c>
      <c r="F73" s="2" t="s">
        <v>74</v>
      </c>
      <c r="G73" s="4" t="s">
        <v>188</v>
      </c>
    </row>
    <row r="74" spans="1:7" ht="50.1" customHeight="1" x14ac:dyDescent="0.15">
      <c r="C74" s="2">
        <f>C73+1</f>
        <v>2</v>
      </c>
      <c r="D74" s="2" t="s">
        <v>167</v>
      </c>
      <c r="E74" s="2" t="s">
        <v>168</v>
      </c>
      <c r="F74" s="2" t="s">
        <v>169</v>
      </c>
      <c r="G74" s="4" t="s">
        <v>170</v>
      </c>
    </row>
    <row r="75" spans="1:7" ht="50.1" customHeight="1" x14ac:dyDescent="0.15">
      <c r="C75" s="2">
        <f>C74+1</f>
        <v>3</v>
      </c>
      <c r="D75" s="2" t="s">
        <v>164</v>
      </c>
      <c r="E75" s="2" t="s">
        <v>165</v>
      </c>
      <c r="F75" s="2" t="s">
        <v>163</v>
      </c>
      <c r="G75" s="4" t="s">
        <v>166</v>
      </c>
    </row>
    <row r="76" spans="1:7" ht="50.1" customHeight="1" x14ac:dyDescent="0.15">
      <c r="C76" s="2">
        <f>C75+1</f>
        <v>4</v>
      </c>
      <c r="D76" s="2" t="s">
        <v>241</v>
      </c>
      <c r="E76" s="2" t="s">
        <v>242</v>
      </c>
      <c r="F76" s="2" t="s">
        <v>243</v>
      </c>
      <c r="G76" s="4" t="s">
        <v>244</v>
      </c>
    </row>
    <row r="78" spans="1:7" ht="50.1" customHeight="1" x14ac:dyDescent="0.15">
      <c r="A78" s="2">
        <v>16</v>
      </c>
      <c r="B78" s="3" t="s">
        <v>27</v>
      </c>
      <c r="C78" s="2">
        <v>1</v>
      </c>
      <c r="D78" s="2" t="s">
        <v>230</v>
      </c>
      <c r="E78" s="2" t="s">
        <v>231</v>
      </c>
      <c r="F78" s="2" t="s">
        <v>229</v>
      </c>
      <c r="G78" s="4" t="s">
        <v>274</v>
      </c>
    </row>
    <row r="79" spans="1:7" ht="50.1" customHeight="1" x14ac:dyDescent="0.15">
      <c r="C79" s="2">
        <f>C78+1</f>
        <v>2</v>
      </c>
      <c r="D79" s="2" t="s">
        <v>232</v>
      </c>
      <c r="E79" s="2" t="s">
        <v>233</v>
      </c>
      <c r="F79" s="2" t="s">
        <v>234</v>
      </c>
      <c r="G79" s="4" t="s">
        <v>272</v>
      </c>
    </row>
    <row r="80" spans="1:7" ht="50.1" customHeight="1" x14ac:dyDescent="0.15">
      <c r="C80" s="2">
        <f>C79+1</f>
        <v>3</v>
      </c>
      <c r="D80" s="2" t="s">
        <v>236</v>
      </c>
      <c r="E80" s="2" t="s">
        <v>235</v>
      </c>
      <c r="F80" s="2" t="s">
        <v>237</v>
      </c>
      <c r="G80" s="4" t="s">
        <v>273</v>
      </c>
    </row>
    <row r="81" spans="1:8" ht="50.1" customHeight="1" x14ac:dyDescent="0.15">
      <c r="C81" s="2">
        <f>C80+1</f>
        <v>4</v>
      </c>
      <c r="D81" s="2" t="s">
        <v>239</v>
      </c>
      <c r="E81" s="2" t="s">
        <v>238</v>
      </c>
      <c r="F81" s="2" t="s">
        <v>240</v>
      </c>
      <c r="G81" s="4" t="s">
        <v>275</v>
      </c>
    </row>
    <row r="83" spans="1:8" ht="50.1" customHeight="1" x14ac:dyDescent="0.15">
      <c r="A83" s="2">
        <v>17</v>
      </c>
      <c r="B83" s="3" t="s">
        <v>28</v>
      </c>
      <c r="C83" s="2">
        <v>1</v>
      </c>
      <c r="D83" s="2" t="s">
        <v>171</v>
      </c>
      <c r="E83" s="2" t="s">
        <v>172</v>
      </c>
      <c r="F83" s="2" t="s">
        <v>174</v>
      </c>
      <c r="G83" s="4" t="s">
        <v>173</v>
      </c>
      <c r="H83" s="2" t="s">
        <v>277</v>
      </c>
    </row>
    <row r="84" spans="1:8" ht="50.1" customHeight="1" x14ac:dyDescent="0.15">
      <c r="C84" s="2">
        <f>C83+1</f>
        <v>2</v>
      </c>
      <c r="D84" s="2" t="s">
        <v>176</v>
      </c>
      <c r="E84" s="2" t="s">
        <v>177</v>
      </c>
      <c r="F84" s="2" t="s">
        <v>82</v>
      </c>
      <c r="G84" s="4" t="s">
        <v>175</v>
      </c>
      <c r="H84" s="2" t="s">
        <v>278</v>
      </c>
    </row>
    <row r="85" spans="1:8" ht="50.1" customHeight="1" x14ac:dyDescent="0.15">
      <c r="C85" s="2">
        <f>C84+1</f>
        <v>3</v>
      </c>
      <c r="D85" s="2" t="s">
        <v>221</v>
      </c>
      <c r="E85" s="2" t="s">
        <v>222</v>
      </c>
      <c r="F85" s="2" t="s">
        <v>223</v>
      </c>
      <c r="G85" s="4" t="s">
        <v>224</v>
      </c>
    </row>
  </sheetData>
  <phoneticPr fontId="5" type="noConversion"/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10" r:id="rId5" xr:uid="{00000000-0004-0000-0000-000004000000}"/>
    <hyperlink ref="G11" r:id="rId6" xr:uid="{00000000-0004-0000-0000-000005000000}"/>
    <hyperlink ref="G15" r:id="rId7" xr:uid="{00000000-0004-0000-0000-000006000000}"/>
    <hyperlink ref="G18" r:id="rId8" xr:uid="{00000000-0004-0000-0000-000007000000}"/>
    <hyperlink ref="G19" r:id="rId9" xr:uid="{00000000-0004-0000-0000-000008000000}"/>
    <hyperlink ref="G9" r:id="rId10" xr:uid="{00000000-0004-0000-0000-000009000000}"/>
    <hyperlink ref="G13" r:id="rId11" xr:uid="{00000000-0004-0000-0000-00000A000000}"/>
    <hyperlink ref="G14" r:id="rId12" xr:uid="{00000000-0004-0000-0000-00000B000000}"/>
    <hyperlink ref="G16" r:id="rId13" xr:uid="{00000000-0004-0000-0000-00000C000000}"/>
    <hyperlink ref="G21" r:id="rId14" xr:uid="{00000000-0004-0000-0000-00000D000000}"/>
    <hyperlink ref="G20" r:id="rId15" xr:uid="{00000000-0004-0000-0000-00000E000000}"/>
    <hyperlink ref="G28" r:id="rId16" xr:uid="{00000000-0004-0000-0000-00000F000000}"/>
    <hyperlink ref="G29" r:id="rId17" xr:uid="{00000000-0004-0000-0000-000010000000}"/>
    <hyperlink ref="G30" r:id="rId18" xr:uid="{00000000-0004-0000-0000-000011000000}"/>
    <hyperlink ref="G23" r:id="rId19" xr:uid="{00000000-0004-0000-0000-000012000000}"/>
    <hyperlink ref="G26" r:id="rId20" xr:uid="{00000000-0004-0000-0000-000013000000}"/>
    <hyperlink ref="G25" r:id="rId21" xr:uid="{00000000-0004-0000-0000-000014000000}"/>
    <hyperlink ref="G33" r:id="rId22" xr:uid="{00000000-0004-0000-0000-000015000000}"/>
    <hyperlink ref="G34" r:id="rId23" xr:uid="{00000000-0004-0000-0000-000016000000}"/>
    <hyperlink ref="G35" r:id="rId24" xr:uid="{00000000-0004-0000-0000-000017000000}"/>
    <hyperlink ref="G36" r:id="rId25" xr:uid="{00000000-0004-0000-0000-000018000000}"/>
    <hyperlink ref="G43" r:id="rId26" xr:uid="{00000000-0004-0000-0000-000019000000}"/>
    <hyperlink ref="G38" r:id="rId27" xr:uid="{00000000-0004-0000-0000-00001A000000}"/>
    <hyperlink ref="G39" r:id="rId28" xr:uid="{00000000-0004-0000-0000-00001B000000}"/>
    <hyperlink ref="G40" r:id="rId29" xr:uid="{00000000-0004-0000-0000-00001C000000}"/>
    <hyperlink ref="G41" r:id="rId30" xr:uid="{00000000-0004-0000-0000-00001D000000}"/>
    <hyperlink ref="G46" r:id="rId31" xr:uid="{00000000-0004-0000-0000-00001E000000}"/>
    <hyperlink ref="G63" r:id="rId32" xr:uid="{00000000-0004-0000-0000-00001F000000}"/>
    <hyperlink ref="G68" r:id="rId33" xr:uid="{00000000-0004-0000-0000-000020000000}"/>
    <hyperlink ref="G48" r:id="rId34" xr:uid="{00000000-0004-0000-0000-000021000000}"/>
    <hyperlink ref="G49" r:id="rId35" xr:uid="{00000000-0004-0000-0000-000022000000}"/>
    <hyperlink ref="G31" r:id="rId36" xr:uid="{00000000-0004-0000-0000-000023000000}"/>
    <hyperlink ref="G75" r:id="rId37" xr:uid="{00000000-0004-0000-0000-000024000000}"/>
    <hyperlink ref="G74" r:id="rId38" xr:uid="{00000000-0004-0000-0000-000025000000}"/>
    <hyperlink ref="G83" r:id="rId39" xr:uid="{00000000-0004-0000-0000-000026000000}"/>
    <hyperlink ref="G84" r:id="rId40" xr:uid="{00000000-0004-0000-0000-000027000000}"/>
    <hyperlink ref="G50" r:id="rId41" xr:uid="{00000000-0004-0000-0000-000028000000}"/>
    <hyperlink ref="G51" r:id="rId42" xr:uid="{00000000-0004-0000-0000-000029000000}"/>
    <hyperlink ref="G73" r:id="rId43" xr:uid="{00000000-0004-0000-0000-00002A000000}"/>
    <hyperlink ref="G61" r:id="rId44" xr:uid="{00000000-0004-0000-0000-00002B000000}"/>
    <hyperlink ref="G58" r:id="rId45" xr:uid="{00000000-0004-0000-0000-00002C000000}"/>
    <hyperlink ref="G64" r:id="rId46" xr:uid="{00000000-0004-0000-0000-00002D000000}"/>
    <hyperlink ref="G71" r:id="rId47" xr:uid="{00000000-0004-0000-0000-00002E000000}"/>
    <hyperlink ref="G70" r:id="rId48" xr:uid="{00000000-0004-0000-0000-00002F000000}"/>
    <hyperlink ref="G69" r:id="rId49" xr:uid="{00000000-0004-0000-0000-000030000000}"/>
    <hyperlink ref="G85" r:id="rId50" xr:uid="{00000000-0004-0000-0000-000031000000}"/>
    <hyperlink ref="G65" r:id="rId51" xr:uid="{00000000-0004-0000-0000-000032000000}"/>
    <hyperlink ref="G76" r:id="rId52" xr:uid="{00000000-0004-0000-0000-000033000000}"/>
    <hyperlink ref="G66" r:id="rId53" xr:uid="{00000000-0004-0000-0000-000034000000}"/>
    <hyperlink ref="G54" r:id="rId54" xr:uid="{00000000-0004-0000-0000-000035000000}"/>
    <hyperlink ref="G55" r:id="rId55" xr:uid="{00000000-0004-0000-0000-000036000000}"/>
    <hyperlink ref="G45" r:id="rId56" xr:uid="{00000000-0004-0000-0000-000037000000}"/>
    <hyperlink ref="G56" r:id="rId57" xr:uid="{00000000-0004-0000-0000-000038000000}"/>
    <hyperlink ref="G44" r:id="rId58" xr:uid="{00000000-0004-0000-0000-000039000000}"/>
    <hyperlink ref="G53" r:id="rId59" xr:uid="{00000000-0004-0000-0000-00003A000000}"/>
    <hyperlink ref="G59" r:id="rId60" xr:uid="{00000000-0004-0000-0000-00003B000000}"/>
    <hyperlink ref="G60" r:id="rId61" xr:uid="{00000000-0004-0000-0000-00003C000000}"/>
    <hyperlink ref="G79" r:id="rId62" xr:uid="{00000000-0004-0000-0000-00003D000000}"/>
    <hyperlink ref="G80" r:id="rId63" xr:uid="{00000000-0004-0000-0000-00003E000000}"/>
    <hyperlink ref="G78" r:id="rId64" xr:uid="{00000000-0004-0000-0000-00003F000000}"/>
    <hyperlink ref="G81" r:id="rId65" location="/24" xr:uid="{00000000-0004-0000-0000-000040000000}"/>
  </hyperlinks>
  <pageMargins left="0.31496062992125984" right="0.31496062992125984" top="0.35433070866141736" bottom="0.35433070866141736" header="0.31496062992125984" footer="0.31496062992125984"/>
  <pageSetup paperSize="9" orientation="landscape"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2017-11-09T10:23:45Z</dcterms:modified>
</cp:coreProperties>
</file>